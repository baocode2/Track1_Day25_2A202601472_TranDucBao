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inAI\Track1_Day25_2A202601472_TranDucBao\outputs\01a04417-837f-7cf0-9761-0a3443941905\"/>
    </mc:Choice>
  </mc:AlternateContent>
  <xr:revisionPtr revIDLastSave="0" documentId="13_ncr:1_{66AED0EE-917B-4DB9-ABF7-14BE6095D54E}" xr6:coauthVersionLast="47" xr6:coauthVersionMax="47" xr10:uidLastSave="{00000000-0000-0000-0000-000000000000}"/>
  <bookViews>
    <workbookView xWindow="25017" yWindow="-118" windowWidth="25370" windowHeight="13667" tabRatio="500" firstSheet="1" activeTab="5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4" i="5" l="1"/>
  <c r="C34" i="5"/>
  <c r="B34" i="5"/>
  <c r="B22" i="5"/>
  <c r="B10" i="5"/>
  <c r="B15" i="5" s="1"/>
  <c r="B16" i="5" s="1"/>
  <c r="B17" i="5" s="1"/>
  <c r="B8" i="5"/>
  <c r="B18" i="4"/>
  <c r="B10" i="4"/>
  <c r="B51" i="3"/>
  <c r="B34" i="3"/>
  <c r="B31" i="3"/>
  <c r="B30" i="3"/>
  <c r="B16" i="3"/>
  <c r="B15" i="3"/>
  <c r="B13" i="3"/>
  <c r="B12" i="3"/>
  <c r="B77" i="2"/>
  <c r="B64" i="2"/>
  <c r="B54" i="2"/>
  <c r="B43" i="2"/>
  <c r="B74" i="2" s="1"/>
  <c r="B38" i="2"/>
  <c r="B73" i="2" s="1"/>
  <c r="B26" i="2"/>
  <c r="B28" i="2" s="1"/>
  <c r="B25" i="2"/>
  <c r="B24" i="2"/>
  <c r="B23" i="2"/>
  <c r="B11" i="2"/>
  <c r="B12" i="2" s="1"/>
  <c r="B55" i="2" s="1"/>
  <c r="B35" i="5" l="1"/>
  <c r="B27" i="2"/>
  <c r="B31" i="2" s="1"/>
  <c r="B72" i="2" s="1"/>
  <c r="B21" i="4"/>
  <c r="B56" i="2"/>
  <c r="B47" i="2" l="1"/>
  <c r="B75" i="2" s="1"/>
  <c r="B29" i="2"/>
  <c r="B62" i="2"/>
  <c r="B63" i="2"/>
  <c r="B76" i="2"/>
  <c r="B29" i="3" l="1"/>
  <c r="B33" i="3" s="1"/>
  <c r="B53" i="3" s="1"/>
  <c r="B66" i="2"/>
  <c r="B65" i="2"/>
  <c r="B35" i="3" l="1"/>
  <c r="B39" i="3"/>
  <c r="C39" i="3" s="1"/>
  <c r="D39" i="3" s="1"/>
  <c r="B42" i="3"/>
  <c r="C42" i="3" s="1"/>
  <c r="D42" i="3" s="1"/>
  <c r="B41" i="3"/>
  <c r="C41" i="3" s="1"/>
  <c r="D41" i="3" s="1"/>
  <c r="B43" i="3"/>
  <c r="C43" i="3" s="1"/>
  <c r="D43" i="3" s="1"/>
  <c r="B40" i="3"/>
  <c r="C40" i="3" s="1"/>
  <c r="D40" i="3" s="1"/>
  <c r="B44" i="3"/>
  <c r="C44" i="3" s="1"/>
  <c r="D44" i="3" s="1"/>
  <c r="C75" i="2"/>
  <c r="C72" i="2"/>
  <c r="C74" i="2"/>
  <c r="C73" i="2"/>
  <c r="C77" i="2"/>
  <c r="C76" i="2"/>
  <c r="B67" i="2"/>
  <c r="B5" i="3"/>
  <c r="B69" i="2"/>
  <c r="B21" i="3" l="1"/>
  <c r="B20" i="3"/>
  <c r="B22" i="3" s="1"/>
  <c r="B7" i="3"/>
  <c r="B49" i="3"/>
  <c r="B50" i="3" l="1"/>
  <c r="B25" i="3"/>
  <c r="B6" i="5"/>
  <c r="B9" i="5" s="1"/>
  <c r="B23" i="5" s="1"/>
  <c r="B24" i="5" s="1"/>
  <c r="B52" i="3"/>
  <c r="B24" i="3"/>
  <c r="B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<sst xmlns="http://schemas.openxmlformats.org/spreadsheetml/2006/main" count="556" uniqueCount="472">
  <si>
    <t>DAY 28 —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</si>
  <si>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</si>
  <si>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</si>
  <si>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</si>
  <si>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</si>
  <si>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</si>
  <si>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</si>
  <si>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</si>
  <si>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</si>
  <si>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</si>
  <si>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</si>
  <si>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</si>
  <si>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</si>
  <si>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</si>
  <si>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</si>
  <si>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</si>
  <si>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</si>
  <si>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</si>
  <si>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</si>
  <si>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</si>
  <si>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</si>
  <si>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</si>
  <si>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</si>
  <si>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</si>
  <si>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</si>
  <si>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</si>
  <si>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</si>
  <si>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</si>
  <si>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</si>
  <si>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</si>
  <si>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TAB 1 — COST/JOB CALCULATOR</t>
  </si>
  <si>
    <t>Trạm 1 (S1–S2) và Trạm 3 (S3–S8). Chỉ điền ô vàng.</t>
  </si>
  <si>
    <t>S1. ĐỊNH NGHĨA JOB</t>
  </si>
  <si>
    <t>1 job của bạn là gì?</t>
  </si>
  <si>
    <t>Phải là thứ KHÁCH coi là giá trị — không phải '1 request'</t>
  </si>
  <si>
    <t>Biến thể HITL: A hay B?</t>
  </si>
  <si>
    <t>B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</si>
  <si>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</si>
  <si>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</si>
  <si>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</si>
  <si>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</si>
  <si>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</si>
  <si>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Lấy từ eval Day 21–22. Chưa đo → ước tính và ghi rõ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</si>
  <si>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</si>
  <si>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</si>
  <si>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</si>
  <si>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</si>
  <si>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</si>
  <si>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</si>
  <si>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Claude Haiku 4.5 — xem tab 6_Benchmarks</t>
  </si>
  <si>
    <t>Giá output ($ / 1M token)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</si>
  <si>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</si>
  <si>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</si>
  <si>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</si>
  <si>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</si>
  <si>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</si>
  <si>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</si>
  <si>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</si>
  <si>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</si>
  <si>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</si>
  <si>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</si>
  <si>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</si>
  <si>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</si>
  <si>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</si>
  <si>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</si>
  <si>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</si>
  <si>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</si>
  <si>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</si>
  <si>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</si>
  <si>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</si>
  <si>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</si>
  <si>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</si>
  <si>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</si>
  <si>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</si>
  <si>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</si>
  <si>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</si>
  <si>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</si>
  <si>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</si>
  <si>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</si>
  <si>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</si>
  <si>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</si>
  <si>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</si>
  <si>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</si>
  <si>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</si>
  <si>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</si>
  <si>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</si>
  <si>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</si>
  <si>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Vector DB, embedding, storage, logging</t>
  </si>
  <si>
    <t>Telephony ($ / phút)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</si>
  <si>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</si>
  <si>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</si>
  <si>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</si>
  <si>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</si>
  <si>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</si>
  <si>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</si>
  <si>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</si>
  <si>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</si>
  <si>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</si>
  <si>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</si>
  <si>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</si>
  <si>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</si>
  <si>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</si>
  <si>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</si>
  <si>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</si>
  <si>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</si>
  <si>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</si>
  <si>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</si>
  <si>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</si>
  <si>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</si>
  <si>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</si>
  <si>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</si>
  <si>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</si>
  <si>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</si>
  <si>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</si>
  <si>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</si>
  <si>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</si>
  <si>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</si>
  <si>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</si>
  <si>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</si>
  <si>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</si>
  <si>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</si>
  <si>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</si>
  <si>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</si>
  <si>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</si>
  <si>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</si>
  <si>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</si>
  <si>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</si>
  <si>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</si>
  <si>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</si>
  <si>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</si>
  <si>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</si>
  <si>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</si>
  <si>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</si>
  <si>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</si>
  <si>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</si>
  <si>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</si>
  <si>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Chuẩn Day 28: giá bán ≥ 3 × Cost/Job</t>
  </si>
  <si>
    <t>→ GIÁ SÀN</t>
  </si>
  <si>
    <t>GIÁ TRẦN — NEO THEO THỨ KHÁCH ĐANG CHI</t>
  </si>
  <si>
    <t>Giá trị khách tiết kiệm được / tháng ($)</t>
  </si>
  <si>
    <t>Neo theo giá trị</t>
  </si>
  <si>
    <t>Số job / tháng của 1 khách</t>
  </si>
  <si>
    <t>→ Trần theo giá trị — mức 10%</t>
  </si>
  <si>
    <t>→ Trần theo giá trị — mức 25%</t>
  </si>
  <si>
    <t>Lương / tháng của vị trí bị thay ($)</t>
  </si>
  <si>
    <t>Neo theo nhân công</t>
  </si>
  <si>
    <t>→ Trần theo nhân công — mức 50%</t>
  </si>
  <si>
    <t>→ Trần theo nhân công — mức 70%</t>
  </si>
  <si>
    <t>GIÁ BÁN CỦA BẠN</t>
  </si>
  <si>
    <t>★ Giá bán đề xuất ($ / job)</t>
  </si>
  <si>
    <t>Tham chiếu: Intercom Fin $0,99 · Zendesk $1,50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</si>
  <si>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</si>
  <si>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</si>
  <si>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</si>
  <si>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</si>
  <si>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</si>
  <si>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</si>
  <si>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</si>
  <si>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</si>
  <si>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</si>
  <si>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</si>
  <si>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</si>
  <si>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</si>
  <si>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Containment tối thiểu cần đạt</t>
  </si>
  <si>
    <t>Công thức: R ≥ (v+q+e) / (P×(1−GM)+e)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</si>
  <si>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</si>
  <si>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</si>
  <si>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</si>
  <si>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</si>
  <si>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</si>
  <si>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</si>
  <si>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</si>
  <si>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</si>
  <si>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</si>
  <si>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</si>
  <si>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</si>
  <si>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</si>
  <si>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</si>
  <si>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</si>
  <si>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</si>
  <si>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</si>
  <si>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(Day 21–22)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</si>
  <si>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</si>
  <si>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</si>
  <si>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</si>
  <si>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</si>
  <si>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</si>
  <si>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</si>
  <si>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</si>
  <si>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</si>
  <si>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</si>
  <si>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</si>
  <si>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</si>
  <si>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</si>
  <si>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</si>
  <si>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</si>
  <si>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</si>
  <si>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</si>
  <si>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</si>
  <si>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</si>
  <si>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</si>
  <si>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QUYẾT ĐỊNH CUỐI</t>
  </si>
  <si>
    <t>Value Metric tôi chọn</t>
  </si>
  <si>
    <t>Nếu KHÁC gợi ý — lý do thị trường là gì?</t>
  </si>
  <si>
    <t>Decision Note — câu 1: tôi chọn đơn vị nào?</t>
  </si>
  <si>
    <t>Decision Note — câu 2: bằng chứng Attribution / Autonomy?</t>
  </si>
  <si>
    <t>Decision Note — câu 3: mô hình này lỗ trong tình huống nào?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</si>
  <si>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</si>
  <si>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</si>
  <si>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</si>
  <si>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</si>
  <si>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</si>
  <si>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</si>
  <si>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</si>
  <si>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</si>
  <si>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</si>
  <si>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</si>
  <si>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</si>
  <si>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</si>
  <si>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</si>
  <si>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</si>
  <si>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</si>
  <si>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</si>
  <si>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</si>
  <si>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</si>
  <si>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</si>
  <si>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</si>
  <si>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</si>
  <si>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</si>
  <si>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</si>
  <si>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</si>
  <si>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</si>
  <si>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</si>
  <si>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</si>
  <si>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</si>
  <si>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</si>
  <si>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</si>
  <si>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</si>
  <si>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</si>
  <si>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</si>
  <si>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</si>
  <si>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</si>
  <si>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</si>
  <si>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</si>
  <si>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</si>
  <si>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</si>
  <si>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</si>
  <si>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</si>
  <si>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</si>
  <si>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</si>
  <si>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</si>
  <si>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</si>
  <si>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'Các nền tảng trong ngành' = chưa có kênh</t>
  </si>
  <si>
    <t>Đã nói chuyện với họ chưa? (Rồi / Chưa)</t>
  </si>
  <si>
    <t>Chưa</t>
  </si>
  <si>
    <t>Bạn mang lại giá trị gì cho partner?</t>
  </si>
  <si>
    <t>Nếu rơi vào vùng không khả thi — lối thoát nào?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</si>
  <si>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</si>
  <si>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</si>
  <si>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</si>
  <si>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</si>
  <si>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</si>
  <si>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Lúc đó họ ĐANG LÀM GÌ?</t>
  </si>
  <si>
    <t>Họ đang DÙNG APP / KÊNH NÀO?</t>
  </si>
  <si>
    <t>→ Điểm nhúng cụ thể của bạn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</si>
  <si>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</si>
  <si>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</si>
  <si>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</si>
  <si>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</si>
  <si>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</si>
  <si>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</si>
  <si>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Mục tiêu số khách</t>
  </si>
  <si>
    <t>Việc cụ thể 1</t>
  </si>
  <si>
    <t>Việc cụ thể 2</t>
  </si>
  <si>
    <t>Việc cụ thể 3</t>
  </si>
  <si>
    <t>KPI đo được</t>
  </si>
  <si>
    <t>Người chịu trách nhiệm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</si>
  <si>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</si>
  <si>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</si>
  <si>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</si>
  <si>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</si>
  <si>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</si>
  <si>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</si>
  <si>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>1. Eval Results (Day 21–22)</t>
  </si>
  <si>
    <t>2. Risk Checklist (Day 24)</t>
  </si>
  <si>
    <t>3. Pilot Report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</si>
  <si>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</si>
  <si>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</si>
  <si>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</si>
  <si>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</si>
  <si>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</si>
  <si>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</si>
  <si>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</si>
  <si>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</si>
  <si>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</si>
  <si>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</si>
  <si>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</si>
  <si>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</si>
  <si>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</si>
  <si>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</si>
  <si>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</si>
  <si>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</si>
  <si>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</si>
  <si>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</si>
  <si>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</si>
  <si>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</si>
  <si>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</si>
  <si>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</si>
  <si>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</si>
  <si>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</si>
  <si>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</si>
  <si>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</si>
  <si>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</si>
  <si>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</si>
  <si>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</si>
  <si>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</si>
  <si>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</si>
  <si>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</si>
  <si>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</si>
  <si>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</si>
  <si>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</si>
  <si>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</si>
  <si>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</si>
  <si>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</si>
  <si>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</si>
  <si>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</si>
  <si>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</si>
  <si>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</si>
  <si>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</si>
  <si>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</si>
  <si>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</si>
  <si>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</si>
  <si>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</si>
  <si>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</si>
  <si>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</si>
  <si>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</si>
  <si>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</si>
  <si>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</si>
  <si>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</si>
  <si>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</si>
  <si>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</si>
  <si>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</si>
  <si>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</si>
  <si>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</si>
  <si>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</si>
  <si>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</si>
  <si>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</si>
  <si>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</si>
  <si>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</si>
  <si>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</si>
  <si>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</si>
  <si>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</si>
  <si>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</si>
  <si>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</si>
  <si>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</si>
  <si>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</si>
  <si>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</si>
  <si>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</si>
  <si>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</si>
  <si>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</si>
  <si>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</si>
  <si>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</si>
  <si>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</si>
  <si>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</si>
  <si>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</si>
  <si>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</si>
  <si>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</si>
  <si>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</si>
  <si>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</si>
  <si>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</si>
  <si>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</si>
  <si>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</si>
  <si>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</si>
  <si>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</si>
  <si>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</si>
  <si>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</si>
  <si>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</si>
  <si>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</si>
  <si>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</si>
  <si>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</si>
  <si>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</si>
  <si>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</si>
  <si>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</si>
  <si>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</si>
  <si>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</si>
  <si>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</si>
  <si>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</si>
  <si>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</si>
  <si>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</si>
  <si>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</si>
  <si>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</si>
  <si>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</si>
  <si>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</si>
  <si>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</si>
  <si>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</si>
  <si>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</si>
  <si>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</si>
  <si>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</si>
  <si>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</si>
  <si>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</si>
  <si>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</si>
  <si>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</si>
  <si>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</si>
  <si>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</si>
  <si>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</si>
  <si>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</si>
  <si>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</si>
  <si>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</si>
  <si>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</si>
  <si>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</si>
  <si>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</si>
  <si>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</si>
  <si>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</si>
  <si>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</si>
  <si>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</si>
  <si>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</si>
  <si>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</si>
  <si>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</si>
  <si>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</si>
  <si>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</si>
  <si>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</si>
  <si>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 xml:space="preserve">1 ticket sinh viên raise cho cán bộ được giải quyết </t>
  </si>
  <si>
    <t>Hybrid</t>
  </si>
  <si>
    <t>Intercom Fin</t>
  </si>
  <si>
    <t>$29/seat/month + $0.99/outcome</t>
  </si>
  <si>
    <t>https://www.intercom.com/help/en/articles/8205718-fin-ai-agent-outcomes</t>
  </si>
  <si>
    <t>Zendesk AI Agents</t>
  </si>
  <si>
    <t>Outcome</t>
  </si>
  <si>
    <t>$1.50/automated resolution</t>
  </si>
  <si>
    <t>https://www.zendesk.com/au/blog/ai/agentic-ai/outcome-based-pricing/</t>
  </si>
  <si>
    <t>Phí nền bù chi phí tích hợp, QA và tuân thủ; overage theo ticket giải quyết giữ giá gắn với kết quả và giúp trường dự báo ngân sách.</t>
  </si>
  <si>
    <t>USD/trường/tháng + số ticket AI giải quyết vượt hạn mức</t>
  </si>
  <si>
    <t>Attribution 8/10; Autonomy 9/10; containment hiện tại 85%, có log và eval theo từng ticket.</t>
  </si>
  <si>
    <t>Lỗ khi containment xuống dưới vùng 60–70%, khiến escalation/HITL tăng và Gross Margin tụt dưới 50%.</t>
  </si>
  <si>
    <t>Mid</t>
  </si>
  <si>
    <t>Công ty Cổ phần Tập đoàn VNG (Zalo Official Account)</t>
  </si>
  <si>
    <t>Tích hợp lớp AI giải quyết ticket vào Zalo OA qua OpenAPI; tăng mức sử dụng OA và tạo case study cho ngành giáo dục.</t>
  </si>
  <si>
    <t>Pilot 1 phòng CTSV, giới hạn quota/overage và chỉ mở rộng khi Gross Margin đạt tối thiểu 60%.</t>
  </si>
  <si>
    <t>08:00–11:00 trong tuần đăng ký học phần, đóng học phí và trước hạn nộp thủ tục.</t>
  </si>
  <si>
    <t>Sinh viên tra cứu học phí, lịch học, thủ tục; cán bộ CTSV đang phân loại và trả lời ticket lặp lại.</t>
  </si>
  <si>
    <t>Campus 24/7 tích hợp trực tiếp trong Zalo OA của trường qua OpenAPI.</t>
  </si>
  <si>
    <t>Partner-Led: VNG/Zalo OA + 1 trường pilot</t>
  </si>
  <si>
    <t>Partner-Led: đồng bán qua Zalo OA</t>
  </si>
  <si>
    <t>Partner-Led + referral từ trường pilot</t>
  </si>
  <si>
    <t>1 trường / 1 phòng CTSV</t>
  </si>
  <si>
    <t>3 trường pilot; 2 trả phí</t>
  </si>
  <si>
    <t>10 trường trả phí</t>
  </si>
  <si>
    <t>Phỏng vấn 10 cán bộ và 20 sinh viên; chốt 20 intent ưu tiên.</t>
  </si>
  <si>
    <t>Tích hợp Zalo OA sandbox và KB của 1 phòng CTSV.</t>
  </si>
  <si>
    <t>Chạy eval 200 ticket; đo baseline SLA, cost/job và escalation.</t>
  </si>
  <si>
    <t>Chuẩn hóa onboarding 7 ngày và dashboard usage.</t>
  </si>
  <si>
    <t>Review lỗi hằng tuần; tối ưu prompt, cache và escalation.</t>
  </si>
  <si>
    <t>Hoàn thiện case study và bộ tài liệu đồng bán với partner.</t>
  </si>
  <si>
    <t>Mở connector SIS/Moodle và quản trị đa trường.</t>
  </si>
  <si>
    <t>Tự động hóa billing, quota và overage theo resolution.</t>
  </si>
  <si>
    <t>Nhân rộng playbook qua partner và referral.</t>
  </si>
  <si>
    <t>≥500 ticket; accuracy ≥85%; containment ≥75%; 0 sự cố PII.</t>
  </si>
  <si>
    <t>≥2.000 ticket/tháng; containment ≥85%; GM ≥60%; 2 pilot trả phí.</t>
  </si>
  <si>
    <t>10 khách trả phí; MRR ≥$9.920; churn &lt;5%; containment ≥85%.</t>
  </si>
  <si>
    <t>Founder/Product + AI Engineer + đầu mối CTSV</t>
  </si>
  <si>
    <t>Partnership Lead + AI Engineer</t>
  </si>
  <si>
    <t>Founder + Partner Account Manager</t>
  </si>
  <si>
    <t>Chạy eval 200 ticket gán nhãn; báo cáo accuracy, containment, false-resolution và escalation theo intent.</t>
  </si>
  <si>
    <t>AI Engineer · 15/09/2026</t>
  </si>
  <si>
    <t>Chốt checklist PII, hallucination, prompt injection, data retention, fallback và quy trình sự cố.</t>
  </si>
  <si>
    <t>Product/Security · 08/09/2026</t>
  </si>
  <si>
    <t>Pilot 4 tuần với 1 phòng CTSV; báo cáo volume, containment, SLA, cost/job và CSAT.</t>
  </si>
  <si>
    <t>Partnership Lead · 31/10/2026</t>
  </si>
  <si>
    <t>Teams của trường và cổng thông tin sinh viên.</t>
  </si>
  <si>
    <t>Rồi</t>
  </si>
  <si>
    <t>Được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</si>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</sst>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  <numFmt numFmtId="171" formatCode="dd/mm/yyyy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1F2937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1"/>
      <color rgb="FFC00000"/>
      <name val="Arial"/>
      <charset val="1"/>
    </font>
    <font>
      <sz val="10"/>
      <name val="Arial"/>
      <family val="2"/>
    </font>
    <font>
      <b/>
      <sz val="10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0" xfId="0" applyFont="1"/>
    <xf numFmtId="0" fontId="5" fillId="4" borderId="1" xfId="0" applyFont="1" applyFill="1" applyBorder="1"/>
    <xf numFmtId="0" fontId="6" fillId="0" borderId="1" xfId="0" applyFont="1" applyBorder="1"/>
    <xf numFmtId="0" fontId="5" fillId="5" borderId="1" xfId="0" applyFont="1" applyFill="1" applyBorder="1"/>
    <xf numFmtId="0" fontId="7" fillId="0" borderId="0" xfId="0" applyFont="1"/>
    <xf numFmtId="0" fontId="3" fillId="6" borderId="0" xfId="0" applyFont="1" applyFill="1"/>
    <xf numFmtId="0" fontId="0" fillId="6" borderId="0" xfId="0" applyFill="1"/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3" fontId="5" fillId="4" borderId="1" xfId="0" applyNumberFormat="1" applyFont="1" applyFill="1" applyBorder="1"/>
    <xf numFmtId="165" fontId="4" fillId="3" borderId="1" xfId="0" applyNumberFormat="1" applyFont="1" applyFill="1" applyBorder="1"/>
    <xf numFmtId="166" fontId="5" fillId="4" borderId="1" xfId="0" applyNumberFormat="1" applyFont="1" applyFill="1" applyBorder="1"/>
    <xf numFmtId="166" fontId="8" fillId="4" borderId="1" xfId="0" applyNumberFormat="1" applyFont="1" applyFill="1" applyBorder="1"/>
    <xf numFmtId="164" fontId="5" fillId="4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165" fontId="5" fillId="4" borderId="1" xfId="0" applyNumberFormat="1" applyFont="1" applyFill="1" applyBorder="1"/>
    <xf numFmtId="165" fontId="8" fillId="4" borderId="1" xfId="0" applyNumberFormat="1" applyFont="1" applyFill="1" applyBorder="1"/>
    <xf numFmtId="168" fontId="5" fillId="4" borderId="1" xfId="0" applyNumberFormat="1" applyFont="1" applyFill="1" applyBorder="1"/>
    <xf numFmtId="166" fontId="6" fillId="4" borderId="1" xfId="0" applyNumberFormat="1" applyFont="1" applyFill="1" applyBorder="1"/>
    <xf numFmtId="169" fontId="4" fillId="3" borderId="1" xfId="0" applyNumberFormat="1" applyFont="1" applyFill="1" applyBorder="1"/>
    <xf numFmtId="170" fontId="5" fillId="4" borderId="1" xfId="0" applyNumberFormat="1" applyFont="1" applyFill="1" applyBorder="1"/>
    <xf numFmtId="164" fontId="8" fillId="4" borderId="1" xfId="0" applyNumberFormat="1" applyFont="1" applyFill="1" applyBorder="1"/>
    <xf numFmtId="164" fontId="6" fillId="4" borderId="1" xfId="0" applyNumberFormat="1" applyFont="1" applyFill="1" applyBorder="1"/>
    <xf numFmtId="0" fontId="7" fillId="5" borderId="1" xfId="0" applyFont="1" applyFill="1" applyBorder="1"/>
    <xf numFmtId="164" fontId="5" fillId="5" borderId="1" xfId="0" applyNumberFormat="1" applyFont="1" applyFill="1" applyBorder="1"/>
    <xf numFmtId="3" fontId="8" fillId="4" borderId="1" xfId="0" applyNumberFormat="1" applyFont="1" applyFill="1" applyBorder="1"/>
    <xf numFmtId="0" fontId="8" fillId="4" borderId="1" xfId="0" applyFont="1" applyFill="1" applyBorder="1"/>
    <xf numFmtId="169" fontId="8" fillId="4" borderId="1" xfId="0" applyNumberFormat="1" applyFont="1" applyFill="1" applyBorder="1"/>
    <xf numFmtId="169" fontId="5" fillId="4" borderId="1" xfId="0" applyNumberFormat="1" applyFont="1" applyFill="1" applyBorder="1"/>
    <xf numFmtId="4" fontId="8" fillId="4" borderId="1" xfId="0" applyNumberFormat="1" applyFont="1" applyFill="1" applyBorder="1"/>
    <xf numFmtId="170" fontId="8" fillId="4" borderId="1" xfId="0" applyNumberFormat="1" applyFont="1" applyFill="1" applyBorder="1"/>
    <xf numFmtId="0" fontId="4" fillId="3" borderId="1" xfId="0" applyFont="1" applyFill="1" applyBorder="1" applyAlignment="1">
      <alignment vertical="top" wrapText="1"/>
    </xf>
    <xf numFmtId="0" fontId="10" fillId="2" borderId="1" xfId="0" applyFont="1" applyFill="1" applyBorder="1"/>
    <xf numFmtId="0" fontId="5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11" fillId="0" borderId="0" xfId="1"/>
    <xf numFmtId="171" fontId="4" fillId="3" borderId="1" xfId="0" applyNumberFormat="1" applyFont="1" applyFill="1" applyBorder="1"/>
    <xf numFmtId="0" fontId="4" fillId="3" borderId="1" xfId="0" applyFont="1" applyFill="1" applyBorder="1" applyAlignment="1">
      <alignment wrapText="1"/>
    </xf>
    <xf numFmtId="0" fontId="4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cursor.com/pricing" TargetMode="External"/><Relationship Id="rId1" Type="http://schemas.openxmlformats.org/officeDocument/2006/relationships/hyperlink" Target="https://docs.github.com/en/copilot/get-started/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zoomScaleNormal="100" workbookViewId="0">
      <selection activeCell="B13" sqref="B13"/>
    </sheetView>
  </sheetViews>
  <sheetFormatPr defaultColWidth="8.6640625" defaultRowHeight="15.05" x14ac:dyDescent="0.3"/>
  <cols>
    <col min="1" max="1" width="52" customWidth="1"/>
    <col min="2" max="2" width="62" customWidth="1"/>
    <col min="3" max="8" width="15" customWidth="1"/>
  </cols>
  <sheetData>
    <row r="1" spans="1:8" ht="24.05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</v>
      </c>
    </row>
    <row r="4" spans="1:8" x14ac:dyDescent="0.3">
      <c r="A4" s="4" t="s">
        <v>2</v>
      </c>
    </row>
    <row r="5" spans="1:8" x14ac:dyDescent="0.3">
      <c r="A5" s="5" t="s">
        <v>3</v>
      </c>
      <c r="B5" s="6" t="s">
        <v>4</v>
      </c>
    </row>
    <row r="6" spans="1:8" x14ac:dyDescent="0.3">
      <c r="A6" s="7" t="s">
        <v>5</v>
      </c>
      <c r="B6" s="6" t="s">
        <v>6</v>
      </c>
    </row>
    <row r="7" spans="1:8" x14ac:dyDescent="0.3">
      <c r="A7" s="8" t="s">
        <v>7</v>
      </c>
      <c r="B7" s="6" t="s">
        <v>8</v>
      </c>
    </row>
    <row r="8" spans="1:8" x14ac:dyDescent="0.3">
      <c r="A8" s="9" t="s">
        <v>9</v>
      </c>
      <c r="B8" s="6" t="s">
        <v>10</v>
      </c>
    </row>
    <row r="10" spans="1:8" x14ac:dyDescent="0.3">
      <c r="A10" s="4" t="s">
        <v>11</v>
      </c>
    </row>
    <row r="11" spans="1:8" x14ac:dyDescent="0.3">
      <c r="A11" s="10" t="s">
        <v>12</v>
      </c>
      <c r="B11" s="6" t="s">
        <v>13</v>
      </c>
    </row>
    <row r="12" spans="1:8" x14ac:dyDescent="0.3">
      <c r="A12" s="10" t="s">
        <v>14</v>
      </c>
      <c r="B12" s="6" t="s">
        <v>15</v>
      </c>
    </row>
    <row r="13" spans="1:8" x14ac:dyDescent="0.3">
      <c r="A13" s="10" t="s">
        <v>16</v>
      </c>
      <c r="B13" s="6" t="s">
        <v>17</v>
      </c>
    </row>
    <row r="14" spans="1:8" x14ac:dyDescent="0.3">
      <c r="A14" s="10" t="s">
        <v>18</v>
      </c>
      <c r="B14" s="6" t="s">
        <v>19</v>
      </c>
    </row>
    <row r="15" spans="1:8" x14ac:dyDescent="0.3">
      <c r="A15" s="10" t="s">
        <v>20</v>
      </c>
      <c r="B15" s="6" t="s">
        <v>21</v>
      </c>
    </row>
    <row r="16" spans="1:8" x14ac:dyDescent="0.3">
      <c r="A16" s="10" t="s">
        <v>22</v>
      </c>
      <c r="B16" s="6" t="s">
        <v>23</v>
      </c>
    </row>
    <row r="18" spans="1:1" x14ac:dyDescent="0.3">
      <c r="A18" s="4" t="s">
        <v>24</v>
      </c>
    </row>
    <row r="19" spans="1:1" x14ac:dyDescent="0.3">
      <c r="A19" s="6" t="s">
        <v>25</v>
      </c>
    </row>
    <row r="20" spans="1:1" x14ac:dyDescent="0.3">
      <c r="A20" s="6" t="s">
        <v>26</v>
      </c>
    </row>
    <row r="21" spans="1:1" x14ac:dyDescent="0.3">
      <c r="A21" s="6" t="s">
        <v>27</v>
      </c>
    </row>
    <row r="23" spans="1:1" x14ac:dyDescent="0.3">
      <c r="A23" s="3" t="s">
        <v>28</v>
      </c>
    </row>
    <row r="24" spans="1:1" x14ac:dyDescent="0.3">
      <c r="A24" s="3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topLeftCell="A33" zoomScaleNormal="100" workbookViewId="0">
      <selection activeCell="C49" sqref="C49"/>
    </sheetView>
  </sheetViews>
  <sheetFormatPr defaultColWidth="8.6640625" defaultRowHeight="15.05" x14ac:dyDescent="0.3"/>
  <cols>
    <col min="1" max="1" width="46" customWidth="1"/>
    <col min="2" max="3" width="16" customWidth="1"/>
    <col min="4" max="4" width="52" customWidth="1"/>
    <col min="5" max="8" width="15" customWidth="1"/>
  </cols>
  <sheetData>
    <row r="1" spans="1:8" ht="24.05" customHeight="1" x14ac:dyDescent="0.3">
      <c r="A1" s="1" t="s">
        <v>30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31</v>
      </c>
    </row>
    <row r="4" spans="1:8" x14ac:dyDescent="0.3">
      <c r="A4" s="11" t="s">
        <v>32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33</v>
      </c>
      <c r="B5" s="5" t="s">
        <v>421</v>
      </c>
      <c r="D5" s="3" t="s">
        <v>34</v>
      </c>
    </row>
    <row r="6" spans="1:8" x14ac:dyDescent="0.3">
      <c r="A6" s="6" t="s">
        <v>35</v>
      </c>
      <c r="B6" s="13" t="s">
        <v>36</v>
      </c>
      <c r="D6" s="3" t="s">
        <v>37</v>
      </c>
    </row>
    <row r="8" spans="1:8" x14ac:dyDescent="0.3">
      <c r="A8" s="11" t="s">
        <v>38</v>
      </c>
      <c r="B8" s="12"/>
      <c r="C8" s="12"/>
      <c r="D8" s="12"/>
      <c r="E8" s="12"/>
      <c r="F8" s="12"/>
      <c r="G8" s="12"/>
      <c r="H8" s="12"/>
    </row>
    <row r="9" spans="1:8" x14ac:dyDescent="0.3">
      <c r="A9" s="6" t="s">
        <v>39</v>
      </c>
      <c r="B9" s="14">
        <v>2000</v>
      </c>
      <c r="C9" s="3" t="s">
        <v>40</v>
      </c>
    </row>
    <row r="10" spans="1:8" x14ac:dyDescent="0.3">
      <c r="A10" s="6" t="s">
        <v>41</v>
      </c>
      <c r="B10" s="15">
        <v>0.85</v>
      </c>
      <c r="D10" s="3" t="s">
        <v>42</v>
      </c>
    </row>
    <row r="11" spans="1:8" x14ac:dyDescent="0.3">
      <c r="A11" s="6" t="s">
        <v>43</v>
      </c>
      <c r="B11" s="16">
        <f>B9*B10</f>
        <v>1700</v>
      </c>
      <c r="C11" s="3" t="s">
        <v>40</v>
      </c>
      <c r="D11" s="3" t="s">
        <v>44</v>
      </c>
    </row>
    <row r="12" spans="1:8" x14ac:dyDescent="0.3">
      <c r="A12" s="6" t="s">
        <v>45</v>
      </c>
      <c r="B12" s="16">
        <f>B9-B11</f>
        <v>300</v>
      </c>
      <c r="C12" s="3" t="s">
        <v>40</v>
      </c>
      <c r="D12" s="3" t="s">
        <v>46</v>
      </c>
    </row>
    <row r="14" spans="1:8" x14ac:dyDescent="0.3">
      <c r="A14" s="11" t="s">
        <v>47</v>
      </c>
      <c r="B14" s="12"/>
      <c r="C14" s="12"/>
      <c r="D14" s="12"/>
      <c r="E14" s="12"/>
      <c r="F14" s="12"/>
      <c r="G14" s="12"/>
      <c r="H14" s="12"/>
    </row>
    <row r="15" spans="1:8" x14ac:dyDescent="0.3">
      <c r="A15" s="6" t="s">
        <v>48</v>
      </c>
      <c r="B15" s="17">
        <v>1</v>
      </c>
      <c r="D15" s="3" t="s">
        <v>49</v>
      </c>
    </row>
    <row r="16" spans="1:8" x14ac:dyDescent="0.3">
      <c r="A16" s="6" t="s">
        <v>50</v>
      </c>
      <c r="B16" s="17">
        <v>5</v>
      </c>
    </row>
    <row r="17" spans="1:4" x14ac:dyDescent="0.3">
      <c r="A17" s="6" t="s">
        <v>51</v>
      </c>
      <c r="B17" s="17">
        <v>1.25</v>
      </c>
      <c r="D17" s="3" t="s">
        <v>52</v>
      </c>
    </row>
    <row r="18" spans="1:4" x14ac:dyDescent="0.3">
      <c r="A18" s="6" t="s">
        <v>53</v>
      </c>
      <c r="B18" s="17">
        <v>0.1</v>
      </c>
      <c r="D18" s="3" t="s">
        <v>54</v>
      </c>
    </row>
    <row r="19" spans="1:4" x14ac:dyDescent="0.3">
      <c r="A19" s="6" t="s">
        <v>55</v>
      </c>
      <c r="B19" s="14">
        <v>6</v>
      </c>
      <c r="C19" s="3" t="s">
        <v>56</v>
      </c>
    </row>
    <row r="20" spans="1:4" x14ac:dyDescent="0.3">
      <c r="A20" s="6" t="s">
        <v>57</v>
      </c>
      <c r="B20" s="14">
        <v>4096</v>
      </c>
      <c r="C20" s="3" t="s">
        <v>58</v>
      </c>
      <c r="D20" s="3" t="s">
        <v>59</v>
      </c>
    </row>
    <row r="21" spans="1:4" x14ac:dyDescent="0.3">
      <c r="A21" s="6" t="s">
        <v>60</v>
      </c>
      <c r="B21" s="14">
        <v>1000</v>
      </c>
      <c r="C21" s="3" t="s">
        <v>58</v>
      </c>
      <c r="D21" s="3" t="s">
        <v>61</v>
      </c>
    </row>
    <row r="22" spans="1:4" x14ac:dyDescent="0.3">
      <c r="A22" s="6" t="s">
        <v>62</v>
      </c>
      <c r="B22" s="14">
        <v>300</v>
      </c>
      <c r="C22" s="3" t="s">
        <v>58</v>
      </c>
    </row>
    <row r="23" spans="1:4" x14ac:dyDescent="0.3">
      <c r="A23" s="6" t="s">
        <v>63</v>
      </c>
      <c r="B23" s="18">
        <f>B20*B17/1000000</f>
        <v>5.1200000000000004E-3</v>
      </c>
    </row>
    <row r="24" spans="1:4" x14ac:dyDescent="0.3">
      <c r="A24" s="6" t="s">
        <v>64</v>
      </c>
      <c r="B24" s="18">
        <f>(B19-1)*B20*B18/1000000</f>
        <v>2.0479999999999999E-3</v>
      </c>
    </row>
    <row r="25" spans="1:4" x14ac:dyDescent="0.3">
      <c r="A25" s="6" t="s">
        <v>65</v>
      </c>
      <c r="B25" s="18">
        <f>B19*B21*B15/1000000</f>
        <v>6.0000000000000001E-3</v>
      </c>
    </row>
    <row r="26" spans="1:4" x14ac:dyDescent="0.3">
      <c r="A26" s="6" t="s">
        <v>66</v>
      </c>
      <c r="B26" s="18">
        <f>B19*B22*B16/1000000</f>
        <v>8.9999999999999993E-3</v>
      </c>
    </row>
    <row r="27" spans="1:4" x14ac:dyDescent="0.3">
      <c r="A27" s="10" t="s">
        <v>67</v>
      </c>
      <c r="B27" s="19">
        <f>SUM(B23:B26)</f>
        <v>2.2168E-2</v>
      </c>
    </row>
    <row r="28" spans="1:4" x14ac:dyDescent="0.3">
      <c r="A28" s="6" t="s">
        <v>68</v>
      </c>
      <c r="B28" s="18">
        <f>B19*(B20+B21)*B15/1000000+B26</f>
        <v>3.9576E-2</v>
      </c>
    </row>
    <row r="29" spans="1:4" x14ac:dyDescent="0.3">
      <c r="A29" s="6" t="s">
        <v>69</v>
      </c>
      <c r="B29" s="20">
        <f>IF(B28=0,0,1-B27/B28)</f>
        <v>0.43986254295532645</v>
      </c>
      <c r="D29" s="3" t="s">
        <v>70</v>
      </c>
    </row>
    <row r="30" spans="1:4" x14ac:dyDescent="0.3">
      <c r="A30" s="6" t="s">
        <v>71</v>
      </c>
      <c r="B30" s="14">
        <v>0</v>
      </c>
      <c r="D30" s="3" t="s">
        <v>72</v>
      </c>
    </row>
    <row r="31" spans="1:4" x14ac:dyDescent="0.3">
      <c r="A31" s="10" t="s">
        <v>73</v>
      </c>
      <c r="B31" s="19">
        <f>B27*(1-B30*0.5)</f>
        <v>2.2168E-2</v>
      </c>
    </row>
    <row r="33" spans="1:8" x14ac:dyDescent="0.3">
      <c r="A33" s="11" t="s">
        <v>74</v>
      </c>
      <c r="B33" s="12"/>
      <c r="C33" s="12"/>
      <c r="D33" s="12"/>
      <c r="E33" s="12"/>
      <c r="F33" s="12"/>
      <c r="G33" s="12"/>
      <c r="H33" s="12"/>
    </row>
    <row r="34" spans="1:8" x14ac:dyDescent="0.3">
      <c r="A34" s="6" t="s">
        <v>75</v>
      </c>
      <c r="B34" s="21">
        <v>0</v>
      </c>
      <c r="D34" s="3" t="s">
        <v>76</v>
      </c>
    </row>
    <row r="35" spans="1:8" x14ac:dyDescent="0.3">
      <c r="A35" s="6" t="s">
        <v>77</v>
      </c>
      <c r="B35" s="22">
        <v>0</v>
      </c>
      <c r="C35" s="3" t="s">
        <v>78</v>
      </c>
    </row>
    <row r="36" spans="1:8" x14ac:dyDescent="0.3">
      <c r="A36" s="6" t="s">
        <v>79</v>
      </c>
      <c r="B36" s="17">
        <v>0</v>
      </c>
      <c r="D36" s="3" t="s">
        <v>80</v>
      </c>
    </row>
    <row r="37" spans="1:8" x14ac:dyDescent="0.3">
      <c r="A37" s="6" t="s">
        <v>81</v>
      </c>
      <c r="B37" s="14">
        <v>0</v>
      </c>
      <c r="C37" s="3" t="s">
        <v>82</v>
      </c>
      <c r="D37" s="3" t="s">
        <v>83</v>
      </c>
    </row>
    <row r="38" spans="1:8" x14ac:dyDescent="0.3">
      <c r="A38" s="6" t="s">
        <v>84</v>
      </c>
      <c r="B38" s="18">
        <f>B34*B35+B36*B37/1000000</f>
        <v>0</v>
      </c>
    </row>
    <row r="40" spans="1:8" x14ac:dyDescent="0.3">
      <c r="A40" s="11" t="s">
        <v>85</v>
      </c>
      <c r="B40" s="12"/>
      <c r="C40" s="12"/>
      <c r="D40" s="12"/>
      <c r="E40" s="12"/>
      <c r="F40" s="12"/>
      <c r="G40" s="12"/>
      <c r="H40" s="12"/>
    </row>
    <row r="41" spans="1:8" x14ac:dyDescent="0.3">
      <c r="A41" s="6" t="s">
        <v>86</v>
      </c>
      <c r="B41" s="21">
        <v>5.0000000000000001E-3</v>
      </c>
      <c r="D41" s="3" t="s">
        <v>87</v>
      </c>
    </row>
    <row r="42" spans="1:8" x14ac:dyDescent="0.3">
      <c r="A42" s="6" t="s">
        <v>88</v>
      </c>
      <c r="B42" s="21">
        <v>0</v>
      </c>
    </row>
    <row r="43" spans="1:8" x14ac:dyDescent="0.3">
      <c r="A43" s="6" t="s">
        <v>89</v>
      </c>
      <c r="B43" s="18">
        <f>B41+B42*B35</f>
        <v>5.0000000000000001E-3</v>
      </c>
    </row>
    <row r="45" spans="1:8" x14ac:dyDescent="0.3">
      <c r="A45" s="11" t="s">
        <v>90</v>
      </c>
      <c r="B45" s="12"/>
      <c r="C45" s="12"/>
      <c r="D45" s="12"/>
      <c r="E45" s="12"/>
      <c r="F45" s="12"/>
      <c r="G45" s="12"/>
      <c r="H45" s="12"/>
    </row>
    <row r="46" spans="1:8" x14ac:dyDescent="0.3">
      <c r="A46" s="6" t="s">
        <v>91</v>
      </c>
      <c r="B46" s="15">
        <v>0.08</v>
      </c>
      <c r="D46" s="3" t="s">
        <v>92</v>
      </c>
    </row>
    <row r="47" spans="1:8" x14ac:dyDescent="0.3">
      <c r="A47" s="6" t="s">
        <v>93</v>
      </c>
      <c r="B47" s="18">
        <f>(B31+B38)*B46</f>
        <v>1.77344E-3</v>
      </c>
    </row>
    <row r="49" spans="1:8" x14ac:dyDescent="0.3">
      <c r="A49" s="11" t="s">
        <v>94</v>
      </c>
      <c r="B49" s="12"/>
      <c r="C49" s="12"/>
      <c r="D49" s="12"/>
      <c r="E49" s="12"/>
      <c r="F49" s="12"/>
      <c r="G49" s="12"/>
      <c r="H49" s="12"/>
    </row>
    <row r="50" spans="1:8" x14ac:dyDescent="0.3">
      <c r="A50" s="6" t="s">
        <v>95</v>
      </c>
      <c r="B50" s="17">
        <v>9</v>
      </c>
      <c r="D50" s="3" t="s">
        <v>96</v>
      </c>
    </row>
    <row r="51" spans="1:8" x14ac:dyDescent="0.3">
      <c r="A51" s="6" t="s">
        <v>97</v>
      </c>
      <c r="B51" s="15">
        <v>0.05</v>
      </c>
      <c r="D51" s="3" t="s">
        <v>98</v>
      </c>
    </row>
    <row r="52" spans="1:8" x14ac:dyDescent="0.3">
      <c r="A52" s="6" t="s">
        <v>99</v>
      </c>
      <c r="B52" s="22">
        <v>2</v>
      </c>
      <c r="C52" s="3" t="s">
        <v>78</v>
      </c>
    </row>
    <row r="53" spans="1:8" x14ac:dyDescent="0.3">
      <c r="A53" s="6" t="s">
        <v>100</v>
      </c>
      <c r="B53" s="22">
        <v>6</v>
      </c>
      <c r="C53" s="3" t="s">
        <v>78</v>
      </c>
    </row>
    <row r="54" spans="1:8" x14ac:dyDescent="0.3">
      <c r="A54" s="6" t="s">
        <v>101</v>
      </c>
      <c r="B54" s="23">
        <f>B9*B51*(B52/60)*B50</f>
        <v>30</v>
      </c>
    </row>
    <row r="55" spans="1:8" x14ac:dyDescent="0.3">
      <c r="A55" s="6" t="s">
        <v>102</v>
      </c>
      <c r="B55" s="23">
        <f>IF(B6="B",B12*(B53/60)*B50,0)</f>
        <v>270</v>
      </c>
      <c r="D55" s="3" t="s">
        <v>103</v>
      </c>
    </row>
    <row r="56" spans="1:8" x14ac:dyDescent="0.3">
      <c r="A56" s="10" t="s">
        <v>104</v>
      </c>
      <c r="B56" s="24">
        <f>B54+B55</f>
        <v>300</v>
      </c>
    </row>
    <row r="58" spans="1:8" x14ac:dyDescent="0.3">
      <c r="A58" s="11" t="s">
        <v>105</v>
      </c>
      <c r="B58" s="12"/>
      <c r="C58" s="12"/>
      <c r="D58" s="12"/>
      <c r="E58" s="12"/>
      <c r="F58" s="12"/>
      <c r="G58" s="12"/>
      <c r="H58" s="12"/>
    </row>
    <row r="59" spans="1:8" x14ac:dyDescent="0.3">
      <c r="A59" s="6" t="s">
        <v>106</v>
      </c>
      <c r="B59" s="17">
        <v>0</v>
      </c>
      <c r="D59" s="3" t="s">
        <v>107</v>
      </c>
    </row>
    <row r="61" spans="1:8" x14ac:dyDescent="0.3">
      <c r="A61" s="11" t="s">
        <v>108</v>
      </c>
      <c r="B61" s="12"/>
      <c r="C61" s="12"/>
      <c r="D61" s="12"/>
      <c r="E61" s="12"/>
      <c r="F61" s="12"/>
      <c r="G61" s="12"/>
      <c r="H61" s="12"/>
    </row>
    <row r="62" spans="1:8" x14ac:dyDescent="0.3">
      <c r="A62" s="6" t="s">
        <v>109</v>
      </c>
      <c r="B62" s="23">
        <f>B9*(B31+B38+B43+B47)</f>
        <v>57.882880000000007</v>
      </c>
    </row>
    <row r="63" spans="1:8" x14ac:dyDescent="0.3">
      <c r="A63" s="6" t="s">
        <v>110</v>
      </c>
      <c r="B63" s="23">
        <f>B56</f>
        <v>300</v>
      </c>
    </row>
    <row r="64" spans="1:8" x14ac:dyDescent="0.3">
      <c r="A64" s="6" t="s">
        <v>111</v>
      </c>
      <c r="B64" s="23">
        <f>B59</f>
        <v>0</v>
      </c>
    </row>
    <row r="65" spans="1:8" x14ac:dyDescent="0.3">
      <c r="A65" s="6" t="s">
        <v>112</v>
      </c>
      <c r="B65" s="23">
        <f>B62+B63+B64</f>
        <v>357.88288</v>
      </c>
    </row>
    <row r="66" spans="1:8" x14ac:dyDescent="0.3">
      <c r="A66" s="10" t="s">
        <v>113</v>
      </c>
      <c r="B66" s="19">
        <f>IF(B11=0,0,(B62+B63)/B11)</f>
        <v>0.21051934117647059</v>
      </c>
      <c r="C66" s="3" t="s">
        <v>114</v>
      </c>
      <c r="D66" s="3" t="s">
        <v>115</v>
      </c>
    </row>
    <row r="67" spans="1:8" x14ac:dyDescent="0.3">
      <c r="A67" s="10" t="s">
        <v>116</v>
      </c>
      <c r="B67" s="19">
        <f>IF(B11=0,0,B65/B11)</f>
        <v>0.21051934117647059</v>
      </c>
      <c r="C67" s="3" t="s">
        <v>114</v>
      </c>
    </row>
    <row r="68" spans="1:8" x14ac:dyDescent="0.3">
      <c r="A68" s="6" t="s">
        <v>117</v>
      </c>
      <c r="B68" s="14">
        <v>26000</v>
      </c>
      <c r="C68" s="3" t="s">
        <v>118</v>
      </c>
      <c r="D68" s="3" t="s">
        <v>119</v>
      </c>
    </row>
    <row r="69" spans="1:8" x14ac:dyDescent="0.3">
      <c r="A69" s="6" t="s">
        <v>120</v>
      </c>
      <c r="B69" s="25">
        <f>B66*B68</f>
        <v>5473.5028705882351</v>
      </c>
      <c r="C69" s="3" t="s">
        <v>121</v>
      </c>
    </row>
    <row r="71" spans="1:8" x14ac:dyDescent="0.3">
      <c r="A71" s="11" t="s">
        <v>122</v>
      </c>
      <c r="B71" s="12"/>
      <c r="C71" s="12"/>
      <c r="D71" s="12"/>
      <c r="E71" s="12"/>
      <c r="F71" s="12"/>
      <c r="G71" s="12"/>
      <c r="H71" s="12"/>
    </row>
    <row r="72" spans="1:8" x14ac:dyDescent="0.3">
      <c r="A72" s="6" t="s">
        <v>123</v>
      </c>
      <c r="B72" s="23">
        <f>B9*B31</f>
        <v>44.335999999999999</v>
      </c>
      <c r="C72" s="20">
        <f t="shared" ref="C72:C77" si="0">IF($B$65=0,0,B72/$B$65)</f>
        <v>0.12388410420749939</v>
      </c>
    </row>
    <row r="73" spans="1:8" x14ac:dyDescent="0.3">
      <c r="A73" s="6" t="s">
        <v>124</v>
      </c>
      <c r="B73" s="23">
        <f>B9*B38</f>
        <v>0</v>
      </c>
      <c r="C73" s="20">
        <f t="shared" si="0"/>
        <v>0</v>
      </c>
    </row>
    <row r="74" spans="1:8" x14ac:dyDescent="0.3">
      <c r="A74" s="6" t="s">
        <v>125</v>
      </c>
      <c r="B74" s="23">
        <f>B9*B43</f>
        <v>10</v>
      </c>
      <c r="C74" s="20">
        <f t="shared" si="0"/>
        <v>2.7942102175996797E-2</v>
      </c>
    </row>
    <row r="75" spans="1:8" x14ac:dyDescent="0.3">
      <c r="A75" s="6" t="s">
        <v>126</v>
      </c>
      <c r="B75" s="23">
        <f>B9*B47</f>
        <v>3.5468800000000003</v>
      </c>
      <c r="C75" s="20">
        <f t="shared" si="0"/>
        <v>9.9107283365999516E-3</v>
      </c>
    </row>
    <row r="76" spans="1:8" x14ac:dyDescent="0.3">
      <c r="A76" s="6" t="s">
        <v>127</v>
      </c>
      <c r="B76" s="23">
        <f>B56</f>
        <v>300</v>
      </c>
      <c r="C76" s="20">
        <f t="shared" si="0"/>
        <v>0.83826306527990391</v>
      </c>
    </row>
    <row r="77" spans="1:8" x14ac:dyDescent="0.3">
      <c r="A77" s="6" t="s">
        <v>128</v>
      </c>
      <c r="B77" s="23">
        <f>B59</f>
        <v>0</v>
      </c>
      <c r="C77" s="20">
        <f t="shared" si="0"/>
        <v>0</v>
      </c>
    </row>
    <row r="78" spans="1:8" x14ac:dyDescent="0.3">
      <c r="A78" s="3" t="s">
        <v>129</v>
      </c>
    </row>
  </sheetData>
  <dataValidations count="1">
    <dataValidation type="list" sqref="B6" xr:uid="{00000000-0002-0000-0100-000000000000}">
      <formula1>"A,B"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Normal="100" workbookViewId="0">
      <selection activeCell="C10" sqref="C10"/>
    </sheetView>
  </sheetViews>
  <sheetFormatPr defaultColWidth="8.6640625" defaultRowHeight="15.05" x14ac:dyDescent="0.3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24.05" customHeight="1" x14ac:dyDescent="0.3">
      <c r="A1" s="1" t="s">
        <v>130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131</v>
      </c>
    </row>
    <row r="4" spans="1:8" x14ac:dyDescent="0.3">
      <c r="A4" s="11" t="s">
        <v>132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133</v>
      </c>
      <c r="B5" s="26">
        <f>'1_Cost_Job'!B66</f>
        <v>0.21051934117647059</v>
      </c>
      <c r="C5" s="3" t="s">
        <v>114</v>
      </c>
    </row>
    <row r="6" spans="1:8" x14ac:dyDescent="0.3">
      <c r="A6" s="6" t="s">
        <v>134</v>
      </c>
      <c r="B6" s="22">
        <v>3</v>
      </c>
      <c r="C6" s="3" t="s">
        <v>135</v>
      </c>
      <c r="D6" s="3" t="s">
        <v>136</v>
      </c>
    </row>
    <row r="7" spans="1:8" x14ac:dyDescent="0.3">
      <c r="A7" s="10" t="s">
        <v>137</v>
      </c>
      <c r="B7" s="19">
        <f>B5*B6</f>
        <v>0.63155802352941182</v>
      </c>
      <c r="C7" s="3" t="s">
        <v>114</v>
      </c>
    </row>
    <row r="9" spans="1:8" x14ac:dyDescent="0.3">
      <c r="A9" s="11" t="s">
        <v>138</v>
      </c>
      <c r="B9" s="12"/>
      <c r="C9" s="12"/>
      <c r="D9" s="12"/>
      <c r="E9" s="12"/>
      <c r="F9" s="12"/>
      <c r="G9" s="12"/>
      <c r="H9" s="12"/>
    </row>
    <row r="10" spans="1:8" x14ac:dyDescent="0.3">
      <c r="A10" s="6" t="s">
        <v>139</v>
      </c>
      <c r="B10" s="27">
        <v>4000</v>
      </c>
      <c r="D10" s="3" t="s">
        <v>140</v>
      </c>
    </row>
    <row r="11" spans="1:8" x14ac:dyDescent="0.3">
      <c r="A11" s="6" t="s">
        <v>141</v>
      </c>
      <c r="B11" s="14">
        <v>1000</v>
      </c>
      <c r="C11" s="3" t="s">
        <v>40</v>
      </c>
    </row>
    <row r="12" spans="1:8" x14ac:dyDescent="0.3">
      <c r="A12" s="6" t="s">
        <v>142</v>
      </c>
      <c r="B12" s="18">
        <f>IF(B11=0,0,B10*0.1/B11)</f>
        <v>0.4</v>
      </c>
      <c r="C12" s="3" t="s">
        <v>114</v>
      </c>
    </row>
    <row r="13" spans="1:8" x14ac:dyDescent="0.3">
      <c r="A13" s="6" t="s">
        <v>143</v>
      </c>
      <c r="B13" s="18">
        <f>IF(B11=0,0,B10*0.25/B11)</f>
        <v>1</v>
      </c>
      <c r="C13" s="3" t="s">
        <v>114</v>
      </c>
    </row>
    <row r="14" spans="1:8" x14ac:dyDescent="0.3">
      <c r="A14" s="6" t="s">
        <v>144</v>
      </c>
      <c r="B14" s="27">
        <v>1500</v>
      </c>
      <c r="D14" s="3" t="s">
        <v>145</v>
      </c>
    </row>
    <row r="15" spans="1:8" x14ac:dyDescent="0.3">
      <c r="A15" s="6" t="s">
        <v>146</v>
      </c>
      <c r="B15" s="18">
        <f>IF(B11=0,0,B14*0.5/B11)</f>
        <v>0.75</v>
      </c>
      <c r="C15" s="3" t="s">
        <v>114</v>
      </c>
    </row>
    <row r="16" spans="1:8" x14ac:dyDescent="0.3">
      <c r="A16" s="6" t="s">
        <v>147</v>
      </c>
      <c r="B16" s="18">
        <f>IF(B11=0,0,B14*0.7/B11)</f>
        <v>1.05</v>
      </c>
      <c r="C16" s="3" t="s">
        <v>114</v>
      </c>
    </row>
    <row r="18" spans="1:8" x14ac:dyDescent="0.3">
      <c r="A18" s="11" t="s">
        <v>148</v>
      </c>
      <c r="B18" s="12"/>
      <c r="C18" s="12"/>
      <c r="D18" s="12"/>
      <c r="E18" s="12"/>
      <c r="F18" s="12"/>
      <c r="G18" s="12"/>
      <c r="H18" s="12"/>
    </row>
    <row r="19" spans="1:8" x14ac:dyDescent="0.3">
      <c r="A19" s="6" t="s">
        <v>149</v>
      </c>
      <c r="B19" s="21">
        <v>0.99</v>
      </c>
      <c r="C19" s="3" t="s">
        <v>114</v>
      </c>
      <c r="D19" s="3" t="s">
        <v>150</v>
      </c>
    </row>
    <row r="20" spans="1:8" x14ac:dyDescent="0.3">
      <c r="A20" s="6" t="s">
        <v>151</v>
      </c>
      <c r="B20" s="28">
        <f>IF(B5=0,0,B19/B5)</f>
        <v>4.7026557962202604</v>
      </c>
    </row>
    <row r="21" spans="1:8" x14ac:dyDescent="0.3">
      <c r="A21" s="10" t="s">
        <v>152</v>
      </c>
      <c r="B21" s="29">
        <f>IF(B19=0,0,(B19-B5)/B19)</f>
        <v>0.78735420083184793</v>
      </c>
    </row>
    <row r="22" spans="1:8" x14ac:dyDescent="0.3">
      <c r="A22" s="6" t="s">
        <v>153</v>
      </c>
      <c r="B22" s="7" t="str">
        <f>IF(B20&gt;=B6,"OK — ĐẠT","KHÔNG ĐẠT — quay lại tab 1")</f>
        <v>OK — ĐẠT</v>
      </c>
    </row>
    <row r="23" spans="1:8" x14ac:dyDescent="0.3">
      <c r="A23" s="6" t="s">
        <v>154</v>
      </c>
      <c r="B23" s="7" t="str">
        <f>IF(B21&gt;=0.6,"OK — AN TOÀN (≥60%)",IF(B21&gt;=0.5,"CẢNH BÁO (50–60%)","NGUY HIỂM (&lt;50%)"))</f>
        <v>OK — AN TOÀN (≥60%)</v>
      </c>
    </row>
    <row r="24" spans="1:8" x14ac:dyDescent="0.3">
      <c r="A24" s="6" t="s">
        <v>155</v>
      </c>
      <c r="B24" s="7" t="str">
        <f>IF(B21&gt;0.85,"NGHI NGỜ — nhiều khả năng bạn quên một khoản chi phí","OK")</f>
        <v>OK</v>
      </c>
    </row>
    <row r="25" spans="1:8" x14ac:dyDescent="0.3">
      <c r="A25" s="6" t="s">
        <v>156</v>
      </c>
      <c r="B25" s="7" t="str">
        <f>IF(AND(B19&gt;=B7,B19&lt;=MAX(B13,B16)),"OK — trong vùng giá bán","XEM LẠI — ngoài vùng giá sàn/trần")</f>
        <v>OK — trong vùng giá bán</v>
      </c>
    </row>
    <row r="27" spans="1:8" x14ac:dyDescent="0.3">
      <c r="A27" s="11" t="s">
        <v>157</v>
      </c>
      <c r="B27" s="12"/>
      <c r="C27" s="12"/>
      <c r="D27" s="12"/>
      <c r="E27" s="12"/>
      <c r="F27" s="12"/>
      <c r="G27" s="12"/>
      <c r="H27" s="12"/>
    </row>
    <row r="28" spans="1:8" x14ac:dyDescent="0.3">
      <c r="A28" s="3" t="s">
        <v>158</v>
      </c>
    </row>
    <row r="29" spans="1:8" x14ac:dyDescent="0.3">
      <c r="A29" s="6" t="s">
        <v>159</v>
      </c>
      <c r="B29" s="26">
        <f>'1_Cost_Job'!B31+'1_Cost_Job'!B38+'1_Cost_Job'!B43+'1_Cost_Job'!B47</f>
        <v>2.8941440000000002E-2</v>
      </c>
    </row>
    <row r="30" spans="1:8" x14ac:dyDescent="0.3">
      <c r="A30" s="6" t="s">
        <v>160</v>
      </c>
      <c r="B30" s="26">
        <f>'1_Cost_Job'!B51*('1_Cost_Job'!B52/60)*'1_Cost_Job'!B50</f>
        <v>1.5000000000000001E-2</v>
      </c>
    </row>
    <row r="31" spans="1:8" x14ac:dyDescent="0.3">
      <c r="A31" s="6" t="s">
        <v>161</v>
      </c>
      <c r="B31" s="26">
        <f>IF('1_Cost_Job'!B6="B",('1_Cost_Job'!B53/60)*'1_Cost_Job'!B50,0)</f>
        <v>0.9</v>
      </c>
    </row>
    <row r="32" spans="1:8" x14ac:dyDescent="0.3">
      <c r="A32" s="6" t="s">
        <v>162</v>
      </c>
      <c r="B32" s="15">
        <v>0.6</v>
      </c>
    </row>
    <row r="33" spans="1:8" x14ac:dyDescent="0.3">
      <c r="A33" s="10" t="s">
        <v>163</v>
      </c>
      <c r="B33" s="29">
        <f>IF((B19*(1-B32)+B31)=0,0,(B29+B30+B31)/(B19*(1-B32)+B31))</f>
        <v>0.72834987654320982</v>
      </c>
      <c r="D33" s="3" t="s">
        <v>164</v>
      </c>
    </row>
    <row r="34" spans="1:8" x14ac:dyDescent="0.3">
      <c r="A34" s="6" t="s">
        <v>165</v>
      </c>
      <c r="B34" s="30">
        <f>'1_Cost_Job'!B10</f>
        <v>0.85</v>
      </c>
    </row>
    <row r="35" spans="1:8" x14ac:dyDescent="0.3">
      <c r="A35" s="6" t="s">
        <v>166</v>
      </c>
      <c r="B35" s="7" t="str">
        <f>IF(B34&gt;=B33,"ĐẠT — mô hình có lãi lành mạnh","CHƯA ĐẠT — phải tăng containment, tăng giá, hoặc đổi biến thể HITL")</f>
        <v>ĐẠT — mô hình có lãi lành mạnh</v>
      </c>
    </row>
    <row r="37" spans="1:8" x14ac:dyDescent="0.3">
      <c r="A37" s="11" t="s">
        <v>167</v>
      </c>
      <c r="B37" s="12"/>
      <c r="C37" s="12"/>
      <c r="D37" s="12"/>
      <c r="E37" s="12"/>
      <c r="F37" s="12"/>
      <c r="G37" s="12"/>
      <c r="H37" s="12"/>
    </row>
    <row r="38" spans="1:8" x14ac:dyDescent="0.3">
      <c r="A38" s="31" t="s">
        <v>168</v>
      </c>
      <c r="B38" s="31" t="s">
        <v>169</v>
      </c>
      <c r="C38" s="31" t="s">
        <v>170</v>
      </c>
      <c r="D38" s="31" t="s">
        <v>171</v>
      </c>
    </row>
    <row r="39" spans="1:8" x14ac:dyDescent="0.3">
      <c r="A39" s="32">
        <v>0.5</v>
      </c>
      <c r="B39" s="18">
        <f t="shared" ref="B39:B44" si="0">($B$29+$B$30+$B$31*(1-A39))/A39</f>
        <v>0.98788288000000002</v>
      </c>
      <c r="C39" s="20">
        <f t="shared" ref="C39:C44" si="1">IF($B$19=0,0,1-B39/$B$19)</f>
        <v>2.1385050505050573E-3</v>
      </c>
      <c r="D39" s="7" t="str">
        <f t="shared" ref="D39:D44" si="2">IF(C39&gt;=0.6,"An toàn",IF(C39&gt;=0.5,"Cảnh báo","Nguy hiểm"))</f>
        <v>Nguy hiểm</v>
      </c>
    </row>
    <row r="40" spans="1:8" x14ac:dyDescent="0.3">
      <c r="A40" s="32">
        <v>0.6</v>
      </c>
      <c r="B40" s="18">
        <f t="shared" si="0"/>
        <v>0.67323573333333342</v>
      </c>
      <c r="C40" s="20">
        <f t="shared" si="1"/>
        <v>0.31996390572390565</v>
      </c>
      <c r="D40" s="7" t="str">
        <f t="shared" si="2"/>
        <v>Nguy hiểm</v>
      </c>
    </row>
    <row r="41" spans="1:8" x14ac:dyDescent="0.3">
      <c r="A41" s="32">
        <v>0.7</v>
      </c>
      <c r="B41" s="18">
        <f t="shared" si="0"/>
        <v>0.44848777142857155</v>
      </c>
      <c r="C41" s="20">
        <f t="shared" si="1"/>
        <v>0.54698204906204895</v>
      </c>
      <c r="D41" s="7" t="str">
        <f t="shared" si="2"/>
        <v>Cảnh báo</v>
      </c>
    </row>
    <row r="42" spans="1:8" x14ac:dyDescent="0.3">
      <c r="A42" s="32">
        <v>0.8</v>
      </c>
      <c r="B42" s="18">
        <f t="shared" si="0"/>
        <v>0.27992679999999992</v>
      </c>
      <c r="C42" s="20">
        <f t="shared" si="1"/>
        <v>0.71724565656565664</v>
      </c>
      <c r="D42" s="7" t="str">
        <f t="shared" si="2"/>
        <v>An toàn</v>
      </c>
    </row>
    <row r="43" spans="1:8" x14ac:dyDescent="0.3">
      <c r="A43" s="32">
        <v>0.9</v>
      </c>
      <c r="B43" s="18">
        <f t="shared" si="0"/>
        <v>0.14882382222222221</v>
      </c>
      <c r="C43" s="20">
        <f t="shared" si="1"/>
        <v>0.84967290684624019</v>
      </c>
      <c r="D43" s="7" t="str">
        <f t="shared" si="2"/>
        <v>An toàn</v>
      </c>
    </row>
    <row r="44" spans="1:8" x14ac:dyDescent="0.3">
      <c r="A44" s="32">
        <v>0.95</v>
      </c>
      <c r="B44" s="18">
        <f t="shared" si="0"/>
        <v>9.3622568421052682E-2</v>
      </c>
      <c r="C44" s="20">
        <f t="shared" si="1"/>
        <v>0.90543174906964374</v>
      </c>
      <c r="D44" s="7" t="str">
        <f t="shared" si="2"/>
        <v>An toàn</v>
      </c>
    </row>
    <row r="46" spans="1:8" x14ac:dyDescent="0.3">
      <c r="A46" s="3" t="s">
        <v>172</v>
      </c>
    </row>
    <row r="48" spans="1:8" x14ac:dyDescent="0.3">
      <c r="A48" s="11" t="s">
        <v>173</v>
      </c>
      <c r="B48" s="12"/>
      <c r="C48" s="12"/>
      <c r="D48" s="12"/>
      <c r="E48" s="12"/>
      <c r="F48" s="12"/>
      <c r="G48" s="12"/>
      <c r="H48" s="12"/>
    </row>
    <row r="49" spans="1:2" x14ac:dyDescent="0.3">
      <c r="A49" s="10" t="s">
        <v>169</v>
      </c>
      <c r="B49" s="19">
        <f>B5</f>
        <v>0.21051934117647059</v>
      </c>
    </row>
    <row r="50" spans="1:2" x14ac:dyDescent="0.3">
      <c r="A50" s="10" t="s">
        <v>174</v>
      </c>
      <c r="B50" s="19">
        <f>B7</f>
        <v>0.63155802352941182</v>
      </c>
    </row>
    <row r="51" spans="1:2" x14ac:dyDescent="0.3">
      <c r="A51" s="10" t="s">
        <v>175</v>
      </c>
      <c r="B51" s="19">
        <f>B19</f>
        <v>0.99</v>
      </c>
    </row>
    <row r="52" spans="1:2" x14ac:dyDescent="0.3">
      <c r="A52" s="10" t="s">
        <v>170</v>
      </c>
      <c r="B52" s="29">
        <f>B21</f>
        <v>0.78735420083184793</v>
      </c>
    </row>
    <row r="53" spans="1:2" x14ac:dyDescent="0.3">
      <c r="A53" s="10" t="s">
        <v>176</v>
      </c>
      <c r="B53" s="29">
        <f>B33</f>
        <v>0.72834987654320982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topLeftCell="A6" zoomScale="85" zoomScaleNormal="85" workbookViewId="0">
      <selection activeCell="C16" sqref="C16"/>
    </sheetView>
  </sheetViews>
  <sheetFormatPr defaultColWidth="8.6640625" defaultRowHeight="15.05" x14ac:dyDescent="0.3"/>
  <cols>
    <col min="1" max="1" width="72" customWidth="1"/>
    <col min="2" max="2" width="12" customWidth="1"/>
    <col min="3" max="3" width="50" customWidth="1"/>
    <col min="4" max="4" width="46" customWidth="1"/>
    <col min="5" max="8" width="15" customWidth="1"/>
  </cols>
  <sheetData>
    <row r="1" spans="1:8" ht="24.05" customHeight="1" x14ac:dyDescent="0.3">
      <c r="A1" s="1" t="s">
        <v>177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178</v>
      </c>
    </row>
    <row r="4" spans="1:8" x14ac:dyDescent="0.3">
      <c r="A4" s="11" t="s">
        <v>179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180</v>
      </c>
      <c r="B5" s="13">
        <v>2</v>
      </c>
    </row>
    <row r="6" spans="1:8" x14ac:dyDescent="0.3">
      <c r="A6" s="6" t="s">
        <v>181</v>
      </c>
      <c r="B6" s="13">
        <v>1</v>
      </c>
    </row>
    <row r="7" spans="1:8" x14ac:dyDescent="0.3">
      <c r="A7" s="6" t="s">
        <v>182</v>
      </c>
      <c r="B7" s="13">
        <v>2</v>
      </c>
    </row>
    <row r="8" spans="1:8" x14ac:dyDescent="0.3">
      <c r="A8" s="6" t="s">
        <v>183</v>
      </c>
      <c r="B8" s="13">
        <v>1</v>
      </c>
    </row>
    <row r="9" spans="1:8" x14ac:dyDescent="0.3">
      <c r="A9" s="6" t="s">
        <v>184</v>
      </c>
      <c r="B9" s="13">
        <v>2</v>
      </c>
    </row>
    <row r="10" spans="1:8" x14ac:dyDescent="0.3">
      <c r="A10" s="10" t="s">
        <v>185</v>
      </c>
      <c r="B10" s="33">
        <f>SUM(B5:B9)</f>
        <v>8</v>
      </c>
    </row>
    <row r="12" spans="1:8" x14ac:dyDescent="0.3">
      <c r="A12" s="11" t="s">
        <v>186</v>
      </c>
      <c r="B12" s="12"/>
      <c r="C12" s="12"/>
      <c r="D12" s="12"/>
      <c r="E12" s="12"/>
      <c r="F12" s="12"/>
      <c r="G12" s="12"/>
      <c r="H12" s="12"/>
    </row>
    <row r="13" spans="1:8" x14ac:dyDescent="0.3">
      <c r="A13" s="6" t="s">
        <v>187</v>
      </c>
      <c r="B13" s="13">
        <v>2</v>
      </c>
    </row>
    <row r="14" spans="1:8" x14ac:dyDescent="0.3">
      <c r="A14" s="6" t="s">
        <v>188</v>
      </c>
      <c r="B14" s="13">
        <v>2</v>
      </c>
    </row>
    <row r="15" spans="1:8" x14ac:dyDescent="0.3">
      <c r="A15" s="6" t="s">
        <v>189</v>
      </c>
      <c r="B15" s="13">
        <v>2</v>
      </c>
    </row>
    <row r="16" spans="1:8" x14ac:dyDescent="0.3">
      <c r="A16" s="6" t="s">
        <v>190</v>
      </c>
      <c r="B16" s="13">
        <v>1</v>
      </c>
    </row>
    <row r="17" spans="1:8" x14ac:dyDescent="0.3">
      <c r="A17" s="6" t="s">
        <v>191</v>
      </c>
      <c r="B17" s="13">
        <v>2</v>
      </c>
    </row>
    <row r="18" spans="1:8" x14ac:dyDescent="0.3">
      <c r="A18" s="10" t="s">
        <v>192</v>
      </c>
      <c r="B18" s="33">
        <f>SUM(B13:B17)</f>
        <v>9</v>
      </c>
    </row>
    <row r="20" spans="1:8" x14ac:dyDescent="0.3">
      <c r="A20" s="11" t="s">
        <v>193</v>
      </c>
      <c r="B20" s="12"/>
      <c r="C20" s="12"/>
      <c r="D20" s="12"/>
      <c r="E20" s="12"/>
      <c r="F20" s="12"/>
      <c r="G20" s="12"/>
      <c r="H20" s="12"/>
    </row>
    <row r="21" spans="1:8" x14ac:dyDescent="0.3">
      <c r="A21" s="10" t="s">
        <v>194</v>
      </c>
      <c r="B21" s="34" t="str">
        <f>IF(AND(B10&gt;=7,B18&gt;=7),"OUTCOME",IF(AND(B10&gt;=7,B18&lt;7),"USAGE",IF(AND(B10&lt;7,B18&gt;=7),"USAGE (an toàn)","SEAT hoặc HYBRID")))</f>
        <v>OUTCOME</v>
      </c>
    </row>
    <row r="22" spans="1:8" x14ac:dyDescent="0.3">
      <c r="A22" s="3" t="s">
        <v>195</v>
      </c>
    </row>
    <row r="24" spans="1:8" x14ac:dyDescent="0.3">
      <c r="A24" s="11" t="s">
        <v>196</v>
      </c>
      <c r="B24" s="12"/>
      <c r="C24" s="12"/>
      <c r="D24" s="12"/>
      <c r="E24" s="12"/>
      <c r="F24" s="12"/>
      <c r="G24" s="12"/>
      <c r="H24" s="12"/>
    </row>
    <row r="25" spans="1:8" x14ac:dyDescent="0.3">
      <c r="A25" s="31" t="s">
        <v>197</v>
      </c>
      <c r="B25" s="31" t="s">
        <v>198</v>
      </c>
      <c r="C25" s="31" t="s">
        <v>199</v>
      </c>
      <c r="D25" s="31" t="s">
        <v>200</v>
      </c>
    </row>
    <row r="26" spans="1:8" x14ac:dyDescent="0.3">
      <c r="A26" s="5" t="s">
        <v>423</v>
      </c>
      <c r="B26" s="5" t="s">
        <v>422</v>
      </c>
      <c r="C26" s="5" t="s">
        <v>424</v>
      </c>
      <c r="D26" s="43" t="s">
        <v>425</v>
      </c>
    </row>
    <row r="27" spans="1:8" x14ac:dyDescent="0.3">
      <c r="A27" s="5" t="s">
        <v>426</v>
      </c>
      <c r="B27" s="5" t="s">
        <v>427</v>
      </c>
      <c r="C27" s="5" t="s">
        <v>428</v>
      </c>
      <c r="D27" s="43" t="s">
        <v>429</v>
      </c>
    </row>
    <row r="29" spans="1:8" x14ac:dyDescent="0.3">
      <c r="A29" s="11" t="s">
        <v>201</v>
      </c>
      <c r="B29" s="12"/>
      <c r="C29" s="12"/>
      <c r="D29" s="12"/>
      <c r="E29" s="12"/>
      <c r="F29" s="12"/>
      <c r="G29" s="12"/>
      <c r="H29" s="12"/>
    </row>
    <row r="30" spans="1:8" x14ac:dyDescent="0.3">
      <c r="A30" s="6" t="s">
        <v>202</v>
      </c>
      <c r="B30" s="5" t="s">
        <v>422</v>
      </c>
    </row>
    <row r="31" spans="1:8" ht="80.05" customHeight="1" x14ac:dyDescent="0.3">
      <c r="A31" s="6" t="s">
        <v>203</v>
      </c>
      <c r="B31" s="45" t="s">
        <v>430</v>
      </c>
    </row>
    <row r="32" spans="1:8" ht="44.05" customHeight="1" x14ac:dyDescent="0.3">
      <c r="A32" s="6" t="s">
        <v>204</v>
      </c>
      <c r="B32" s="46" t="s">
        <v>431</v>
      </c>
    </row>
    <row r="33" spans="1:2" ht="62.05" customHeight="1" x14ac:dyDescent="0.3">
      <c r="A33" s="6" t="s">
        <v>205</v>
      </c>
      <c r="B33" s="46" t="s">
        <v>432</v>
      </c>
    </row>
    <row r="34" spans="1:2" ht="68.099999999999994" customHeight="1" x14ac:dyDescent="0.3">
      <c r="A34" s="6" t="s">
        <v>206</v>
      </c>
      <c r="B34" s="45" t="s">
        <v>433</v>
      </c>
    </row>
  </sheetData>
  <hyperlinks>
    <hyperlink ref="D26" r:id="rId1" display="https://docs.github.com/en/copilot/get-started/plans" xr:uid="{836F5262-9772-42FE-8021-2A363F332330}"/>
    <hyperlink ref="D27" r:id="rId2" display="https://cursor.com/pricing" xr:uid="{BA00690B-4F63-49BD-B882-18D761070CA1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topLeftCell="A36" zoomScaleNormal="100" workbookViewId="0">
      <selection activeCell="C54" sqref="C54"/>
    </sheetView>
  </sheetViews>
  <sheetFormatPr defaultColWidth="8.6640625" defaultRowHeight="15.05" x14ac:dyDescent="0.3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24.05" customHeight="1" x14ac:dyDescent="0.3">
      <c r="A1" s="1" t="s">
        <v>207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208</v>
      </c>
    </row>
    <row r="4" spans="1:8" x14ac:dyDescent="0.3">
      <c r="A4" s="11" t="s">
        <v>209</v>
      </c>
      <c r="B4" s="12"/>
      <c r="C4" s="12"/>
      <c r="D4" s="12"/>
      <c r="E4" s="12"/>
      <c r="F4" s="12"/>
      <c r="G4" s="12"/>
      <c r="H4" s="12"/>
    </row>
    <row r="5" spans="1:8" x14ac:dyDescent="0.3">
      <c r="A5" s="6" t="s">
        <v>210</v>
      </c>
      <c r="B5" s="27">
        <v>992</v>
      </c>
    </row>
    <row r="6" spans="1:8" x14ac:dyDescent="0.3">
      <c r="A6" s="6" t="s">
        <v>211</v>
      </c>
      <c r="B6" s="30">
        <f>'2_Pricing'!B21</f>
        <v>0.78735420083184793</v>
      </c>
    </row>
    <row r="7" spans="1:8" x14ac:dyDescent="0.3">
      <c r="A7" s="6" t="s">
        <v>212</v>
      </c>
      <c r="B7" s="13" t="s">
        <v>434</v>
      </c>
    </row>
    <row r="8" spans="1:8" x14ac:dyDescent="0.3">
      <c r="A8" s="6" t="s">
        <v>213</v>
      </c>
      <c r="B8" s="16">
        <f>IF(B7="SMB",12,IF(B7="Mid",18,24))</f>
        <v>18</v>
      </c>
      <c r="C8" s="3" t="s">
        <v>214</v>
      </c>
      <c r="D8" s="3" t="s">
        <v>215</v>
      </c>
    </row>
    <row r="9" spans="1:8" x14ac:dyDescent="0.3">
      <c r="A9" s="10" t="s">
        <v>216</v>
      </c>
      <c r="B9" s="35">
        <f>B5*B6*B8</f>
        <v>14058.996610053477</v>
      </c>
      <c r="D9" s="3" t="s">
        <v>217</v>
      </c>
    </row>
    <row r="10" spans="1:8" x14ac:dyDescent="0.3">
      <c r="A10" s="6" t="s">
        <v>218</v>
      </c>
      <c r="B10" s="36">
        <f>B5*12</f>
        <v>11904</v>
      </c>
    </row>
    <row r="12" spans="1:8" x14ac:dyDescent="0.3">
      <c r="A12" s="11" t="s">
        <v>219</v>
      </c>
      <c r="B12" s="12"/>
      <c r="C12" s="12"/>
      <c r="D12" s="12"/>
      <c r="E12" s="12"/>
      <c r="F12" s="12"/>
      <c r="G12" s="12"/>
      <c r="H12" s="12"/>
    </row>
    <row r="13" spans="1:8" x14ac:dyDescent="0.3">
      <c r="A13" s="6" t="s">
        <v>220</v>
      </c>
      <c r="B13" s="27">
        <v>500000</v>
      </c>
      <c r="D13" s="3" t="s">
        <v>221</v>
      </c>
    </row>
    <row r="14" spans="1:8" x14ac:dyDescent="0.3">
      <c r="A14" s="6" t="s">
        <v>222</v>
      </c>
      <c r="B14" s="14">
        <v>250</v>
      </c>
      <c r="C14" s="3" t="s">
        <v>223</v>
      </c>
    </row>
    <row r="15" spans="1:8" x14ac:dyDescent="0.3">
      <c r="A15" s="6" t="s">
        <v>224</v>
      </c>
      <c r="B15" s="16">
        <f>IF(B10=0,0,B13/B10)</f>
        <v>42.002688172043008</v>
      </c>
    </row>
    <row r="16" spans="1:8" x14ac:dyDescent="0.3">
      <c r="A16" s="10" t="s">
        <v>225</v>
      </c>
      <c r="B16" s="37">
        <f>IF(B14=0,0,B15/B14)</f>
        <v>0.16801075268817203</v>
      </c>
      <c r="C16" s="3" t="s">
        <v>226</v>
      </c>
    </row>
    <row r="17" spans="1:8" x14ac:dyDescent="0.3">
      <c r="A17" s="6" t="s">
        <v>227</v>
      </c>
      <c r="B17" s="7" t="str">
        <f>IF(B16&lt;=1,"KHẢ THI về mặt số học","BẤT KHẢ THI — ACV quá thấp để nuôi sales rep")</f>
        <v>KHẢ THI về mặt số học</v>
      </c>
    </row>
    <row r="19" spans="1:8" x14ac:dyDescent="0.3">
      <c r="A19" s="11" t="s">
        <v>228</v>
      </c>
      <c r="B19" s="12"/>
      <c r="C19" s="12"/>
      <c r="D19" s="12"/>
      <c r="E19" s="12"/>
      <c r="F19" s="12"/>
      <c r="G19" s="12"/>
      <c r="H19" s="12"/>
    </row>
    <row r="20" spans="1:8" x14ac:dyDescent="0.3">
      <c r="A20" s="6" t="s">
        <v>229</v>
      </c>
      <c r="B20" s="27">
        <v>8000</v>
      </c>
      <c r="D20" s="3" t="s">
        <v>230</v>
      </c>
    </row>
    <row r="21" spans="1:8" x14ac:dyDescent="0.3">
      <c r="A21" s="6" t="s">
        <v>231</v>
      </c>
      <c r="B21" s="15">
        <v>0.25</v>
      </c>
    </row>
    <row r="22" spans="1:8" x14ac:dyDescent="0.3">
      <c r="A22" s="6" t="s">
        <v>232</v>
      </c>
      <c r="B22" s="36">
        <f>IF(B21=0,0,B20/B21)</f>
        <v>32000</v>
      </c>
    </row>
    <row r="23" spans="1:8" x14ac:dyDescent="0.3">
      <c r="A23" s="10" t="s">
        <v>233</v>
      </c>
      <c r="B23" s="38">
        <f>IF(B9=0,0,B22/B9)</f>
        <v>2.2761226058705395</v>
      </c>
      <c r="D23" s="3" t="s">
        <v>234</v>
      </c>
    </row>
    <row r="24" spans="1:8" x14ac:dyDescent="0.3">
      <c r="A24" s="6" t="s">
        <v>166</v>
      </c>
      <c r="B24" s="7" t="str">
        <f>IF(B23&lt;=1,"Motion có sales KHẢ THI",IF(B23&lt;=3,"Căng — cần tăng giá hoặc giảm chi phí bán hàng","KHÔNG KHẢ THI — đi PLG hoặc Partner-Led"))</f>
        <v>Căng — cần tăng giá hoặc giảm chi phí bán hàng</v>
      </c>
    </row>
    <row r="26" spans="1:8" x14ac:dyDescent="0.3">
      <c r="A26" s="11" t="s">
        <v>235</v>
      </c>
      <c r="B26" s="12"/>
      <c r="C26" s="12"/>
      <c r="D26" s="12"/>
      <c r="E26" s="12"/>
      <c r="F26" s="12"/>
      <c r="G26" s="12"/>
      <c r="H26" s="12"/>
    </row>
    <row r="27" spans="1:8" x14ac:dyDescent="0.3">
      <c r="A27" s="31" t="s">
        <v>236</v>
      </c>
      <c r="B27" s="31" t="s">
        <v>237</v>
      </c>
      <c r="C27" s="31" t="s">
        <v>238</v>
      </c>
      <c r="D27" s="31" t="s">
        <v>239</v>
      </c>
    </row>
    <row r="28" spans="1:8" x14ac:dyDescent="0.3">
      <c r="A28" s="6" t="s">
        <v>240</v>
      </c>
      <c r="B28" s="13">
        <v>3</v>
      </c>
      <c r="C28" s="13">
        <v>3</v>
      </c>
      <c r="D28" s="13">
        <v>5</v>
      </c>
    </row>
    <row r="29" spans="1:8" x14ac:dyDescent="0.3">
      <c r="A29" s="6" t="s">
        <v>241</v>
      </c>
      <c r="B29" s="13">
        <v>2</v>
      </c>
      <c r="C29" s="13">
        <v>4</v>
      </c>
      <c r="D29" s="13">
        <v>5</v>
      </c>
    </row>
    <row r="30" spans="1:8" x14ac:dyDescent="0.3">
      <c r="A30" s="6" t="s">
        <v>242</v>
      </c>
      <c r="B30" s="13">
        <v>4</v>
      </c>
      <c r="C30" s="13">
        <v>2</v>
      </c>
      <c r="D30" s="13">
        <v>3</v>
      </c>
    </row>
    <row r="31" spans="1:8" x14ac:dyDescent="0.3">
      <c r="A31" s="6" t="s">
        <v>243</v>
      </c>
      <c r="B31" s="13">
        <v>2</v>
      </c>
      <c r="C31" s="13">
        <v>2</v>
      </c>
      <c r="D31" s="13">
        <v>2</v>
      </c>
    </row>
    <row r="32" spans="1:8" x14ac:dyDescent="0.3">
      <c r="A32" s="6" t="s">
        <v>244</v>
      </c>
      <c r="B32" s="13">
        <v>4</v>
      </c>
      <c r="C32" s="13">
        <v>4</v>
      </c>
      <c r="D32" s="13">
        <v>5</v>
      </c>
    </row>
    <row r="33" spans="1:8" x14ac:dyDescent="0.3">
      <c r="A33" s="6" t="s">
        <v>245</v>
      </c>
      <c r="B33" s="13">
        <v>5</v>
      </c>
      <c r="C33" s="13">
        <v>4</v>
      </c>
      <c r="D33" s="13">
        <v>5</v>
      </c>
    </row>
    <row r="34" spans="1:8" x14ac:dyDescent="0.3">
      <c r="A34" s="10" t="s">
        <v>246</v>
      </c>
      <c r="B34" s="34">
        <f>SUM(B28:B33)</f>
        <v>20</v>
      </c>
      <c r="C34" s="34">
        <f>SUM(C28:C33)</f>
        <v>19</v>
      </c>
      <c r="D34" s="34">
        <f>SUM(D28:D33)</f>
        <v>25</v>
      </c>
    </row>
    <row r="35" spans="1:8" x14ac:dyDescent="0.3">
      <c r="A35" s="10" t="s">
        <v>247</v>
      </c>
      <c r="B35" s="34" t="str">
        <f>IF(AND(B34&gt;=C34,B34&gt;=D34),"PLG",IF(C34&gt;=D34,"Sales-Led","Partner-Led"))</f>
        <v>Partner-Led</v>
      </c>
    </row>
    <row r="37" spans="1:8" x14ac:dyDescent="0.3">
      <c r="A37" s="11" t="s">
        <v>248</v>
      </c>
      <c r="B37" s="12"/>
      <c r="C37" s="12"/>
      <c r="D37" s="12"/>
      <c r="E37" s="12"/>
      <c r="F37" s="12"/>
      <c r="G37" s="12"/>
      <c r="H37" s="12"/>
    </row>
    <row r="38" spans="1:8" x14ac:dyDescent="0.3">
      <c r="A38" s="6" t="s">
        <v>249</v>
      </c>
      <c r="B38" s="5" t="s">
        <v>239</v>
      </c>
      <c r="D38" s="3" t="s">
        <v>250</v>
      </c>
    </row>
    <row r="39" spans="1:8" ht="44.05" customHeight="1" x14ac:dyDescent="0.3">
      <c r="A39" s="6" t="s">
        <v>251</v>
      </c>
      <c r="B39" s="45" t="s">
        <v>435</v>
      </c>
      <c r="D39" s="3" t="s">
        <v>252</v>
      </c>
    </row>
    <row r="40" spans="1:8" ht="21.95" customHeight="1" x14ac:dyDescent="0.3">
      <c r="A40" s="6" t="s">
        <v>253</v>
      </c>
      <c r="B40" s="45" t="s">
        <v>254</v>
      </c>
    </row>
    <row r="41" spans="1:8" ht="92" customHeight="1" x14ac:dyDescent="0.3">
      <c r="A41" s="6" t="s">
        <v>255</v>
      </c>
      <c r="B41" s="45" t="s">
        <v>436</v>
      </c>
    </row>
    <row r="42" spans="1:8" ht="82" customHeight="1" x14ac:dyDescent="0.3">
      <c r="A42" s="6" t="s">
        <v>256</v>
      </c>
      <c r="B42" s="45" t="s">
        <v>437</v>
      </c>
      <c r="D42" s="3" t="s">
        <v>257</v>
      </c>
    </row>
  </sheetData>
  <dataValidations count="1">
    <dataValidation type="list" sqref="B7" xr:uid="{00000000-0002-0000-0400-000000000000}">
      <formula1>"SMB,Mid,Enterprise"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tabSelected="1" topLeftCell="A21" zoomScaleNormal="100" workbookViewId="0">
      <selection activeCell="D32" sqref="D32"/>
    </sheetView>
  </sheetViews>
  <sheetFormatPr defaultColWidth="8.6640625" defaultRowHeight="15.05" x14ac:dyDescent="0.3"/>
  <cols>
    <col min="1" max="1" width="30" customWidth="1"/>
    <col min="2" max="4" width="34" customWidth="1"/>
    <col min="5" max="8" width="15" customWidth="1"/>
  </cols>
  <sheetData>
    <row r="1" spans="1:8" ht="24.05" customHeight="1" x14ac:dyDescent="0.3">
      <c r="A1" s="1" t="s">
        <v>258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259</v>
      </c>
    </row>
    <row r="4" spans="1:8" x14ac:dyDescent="0.3">
      <c r="A4" s="11" t="s">
        <v>260</v>
      </c>
      <c r="B4" s="12"/>
      <c r="C4" s="12"/>
      <c r="D4" s="12"/>
      <c r="E4" s="12"/>
      <c r="F4" s="12"/>
      <c r="G4" s="12"/>
      <c r="H4" s="12"/>
    </row>
    <row r="5" spans="1:8" ht="32.1" customHeight="1" x14ac:dyDescent="0.3">
      <c r="A5" s="6" t="s">
        <v>261</v>
      </c>
      <c r="B5" s="45" t="s">
        <v>438</v>
      </c>
    </row>
    <row r="6" spans="1:8" ht="32.1" customHeight="1" x14ac:dyDescent="0.3">
      <c r="A6" s="6" t="s">
        <v>262</v>
      </c>
      <c r="B6" s="45" t="s">
        <v>439</v>
      </c>
    </row>
    <row r="7" spans="1:8" ht="32.1" customHeight="1" x14ac:dyDescent="0.3">
      <c r="A7" s="6" t="s">
        <v>263</v>
      </c>
      <c r="B7" s="45" t="s">
        <v>468</v>
      </c>
    </row>
    <row r="8" spans="1:8" ht="32.1" customHeight="1" x14ac:dyDescent="0.3">
      <c r="A8" s="6" t="s">
        <v>264</v>
      </c>
      <c r="B8" s="45" t="s">
        <v>440</v>
      </c>
      <c r="D8" s="3" t="s">
        <v>265</v>
      </c>
    </row>
    <row r="10" spans="1:8" x14ac:dyDescent="0.3">
      <c r="A10" s="11" t="s">
        <v>266</v>
      </c>
      <c r="B10" s="12"/>
      <c r="C10" s="12"/>
      <c r="D10" s="12"/>
      <c r="E10" s="12"/>
      <c r="F10" s="12"/>
      <c r="G10" s="12"/>
      <c r="H10" s="12"/>
    </row>
    <row r="11" spans="1:8" x14ac:dyDescent="0.3">
      <c r="A11" s="31"/>
      <c r="B11" s="31" t="s">
        <v>267</v>
      </c>
      <c r="C11" s="31" t="s">
        <v>268</v>
      </c>
      <c r="D11" s="31" t="s">
        <v>269</v>
      </c>
    </row>
    <row r="12" spans="1:8" ht="34.049999999999997" customHeight="1" x14ac:dyDescent="0.3">
      <c r="A12" s="6" t="s">
        <v>270</v>
      </c>
      <c r="B12" s="39" t="s">
        <v>441</v>
      </c>
      <c r="C12" s="39" t="s">
        <v>442</v>
      </c>
      <c r="D12" s="39" t="s">
        <v>443</v>
      </c>
    </row>
    <row r="13" spans="1:8" ht="28" customHeight="1" x14ac:dyDescent="0.3">
      <c r="A13" s="6" t="s">
        <v>271</v>
      </c>
      <c r="B13" s="39" t="s">
        <v>444</v>
      </c>
      <c r="C13" s="39" t="s">
        <v>445</v>
      </c>
      <c r="D13" s="39" t="s">
        <v>446</v>
      </c>
    </row>
    <row r="14" spans="1:8" ht="44.05" customHeight="1" x14ac:dyDescent="0.3">
      <c r="A14" s="6" t="s">
        <v>272</v>
      </c>
      <c r="B14" s="39" t="s">
        <v>447</v>
      </c>
      <c r="C14" s="39" t="s">
        <v>450</v>
      </c>
      <c r="D14" s="39" t="s">
        <v>453</v>
      </c>
    </row>
    <row r="15" spans="1:8" ht="44.05" customHeight="1" x14ac:dyDescent="0.3">
      <c r="A15" s="6" t="s">
        <v>273</v>
      </c>
      <c r="B15" s="39" t="s">
        <v>448</v>
      </c>
      <c r="C15" s="39" t="s">
        <v>451</v>
      </c>
      <c r="D15" s="39" t="s">
        <v>454</v>
      </c>
    </row>
    <row r="16" spans="1:8" ht="44.05" customHeight="1" x14ac:dyDescent="0.3">
      <c r="A16" s="6" t="s">
        <v>274</v>
      </c>
      <c r="B16" s="39" t="s">
        <v>449</v>
      </c>
      <c r="C16" s="39" t="s">
        <v>452</v>
      </c>
      <c r="D16" s="39" t="s">
        <v>455</v>
      </c>
    </row>
    <row r="17" spans="1:8" ht="42.05" customHeight="1" x14ac:dyDescent="0.3">
      <c r="A17" s="6" t="s">
        <v>275</v>
      </c>
      <c r="B17" s="39" t="s">
        <v>456</v>
      </c>
      <c r="C17" s="39" t="s">
        <v>457</v>
      </c>
      <c r="D17" s="39" t="s">
        <v>458</v>
      </c>
    </row>
    <row r="18" spans="1:8" ht="34.049999999999997" customHeight="1" x14ac:dyDescent="0.3">
      <c r="A18" s="6" t="s">
        <v>276</v>
      </c>
      <c r="B18" s="39" t="s">
        <v>459</v>
      </c>
      <c r="C18" s="39" t="s">
        <v>460</v>
      </c>
      <c r="D18" s="39" t="s">
        <v>461</v>
      </c>
    </row>
    <row r="19" spans="1:8" x14ac:dyDescent="0.3">
      <c r="A19" s="3" t="s">
        <v>277</v>
      </c>
    </row>
    <row r="21" spans="1:8" x14ac:dyDescent="0.3">
      <c r="A21" s="11" t="s">
        <v>278</v>
      </c>
      <c r="B21" s="12"/>
      <c r="C21" s="12"/>
      <c r="D21" s="12"/>
      <c r="E21" s="12"/>
      <c r="F21" s="12"/>
      <c r="G21" s="12"/>
      <c r="H21" s="12"/>
    </row>
    <row r="22" spans="1:8" x14ac:dyDescent="0.3">
      <c r="A22" s="31" t="s">
        <v>279</v>
      </c>
      <c r="B22" s="31" t="s">
        <v>280</v>
      </c>
      <c r="C22" s="31" t="s">
        <v>281</v>
      </c>
      <c r="D22" s="31" t="s">
        <v>282</v>
      </c>
    </row>
    <row r="23" spans="1:8" ht="47.95" customHeight="1" x14ac:dyDescent="0.3">
      <c r="A23" s="6" t="s">
        <v>283</v>
      </c>
      <c r="B23" s="39" t="s">
        <v>469</v>
      </c>
      <c r="C23" s="39" t="s">
        <v>462</v>
      </c>
      <c r="D23" s="39" t="s">
        <v>463</v>
      </c>
    </row>
    <row r="24" spans="1:8" ht="47.95" customHeight="1" x14ac:dyDescent="0.3">
      <c r="A24" s="6" t="s">
        <v>284</v>
      </c>
      <c r="B24" s="39" t="s">
        <v>469</v>
      </c>
      <c r="C24" s="39" t="s">
        <v>464</v>
      </c>
      <c r="D24" s="39" t="s">
        <v>465</v>
      </c>
    </row>
    <row r="25" spans="1:8" ht="47.95" customHeight="1" x14ac:dyDescent="0.3">
      <c r="A25" s="6" t="s">
        <v>285</v>
      </c>
      <c r="B25" s="39" t="s">
        <v>469</v>
      </c>
      <c r="C25" s="39" t="s">
        <v>466</v>
      </c>
      <c r="D25" s="39" t="s">
        <v>467</v>
      </c>
    </row>
    <row r="26" spans="1:8" x14ac:dyDescent="0.3">
      <c r="A26" s="3" t="s">
        <v>286</v>
      </c>
    </row>
    <row r="28" spans="1:8" x14ac:dyDescent="0.3">
      <c r="A28" s="11" t="s">
        <v>287</v>
      </c>
      <c r="B28" s="12"/>
      <c r="C28" s="12"/>
      <c r="D28" s="12"/>
      <c r="E28" s="12"/>
      <c r="F28" s="12"/>
      <c r="G28" s="12"/>
      <c r="H28" s="12"/>
    </row>
    <row r="29" spans="1:8" ht="29.95" customHeight="1" x14ac:dyDescent="0.3">
      <c r="A29" s="6" t="s">
        <v>288</v>
      </c>
      <c r="B29" s="45" t="s">
        <v>470</v>
      </c>
    </row>
    <row r="30" spans="1:8" ht="29.95" customHeight="1" x14ac:dyDescent="0.3">
      <c r="A30" s="6" t="s">
        <v>289</v>
      </c>
      <c r="B30" s="45" t="s">
        <v>471</v>
      </c>
    </row>
    <row r="31" spans="1:8" ht="29.95" customHeight="1" x14ac:dyDescent="0.3">
      <c r="A31" s="6" t="s">
        <v>290</v>
      </c>
      <c r="B31" s="45" t="s">
        <v>470</v>
      </c>
    </row>
    <row r="32" spans="1:8" x14ac:dyDescent="0.3">
      <c r="A32" s="6" t="s">
        <v>291</v>
      </c>
      <c r="B32" s="45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topLeftCell="A26" zoomScaleNormal="100" workbookViewId="0">
      <selection activeCell="H14" sqref="H14"/>
    </sheetView>
  </sheetViews>
  <sheetFormatPr defaultColWidth="8.6640625" defaultRowHeight="15.05" x14ac:dyDescent="0.3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15" customWidth="1"/>
  </cols>
  <sheetData>
    <row r="1" spans="1:8" ht="24.05" customHeight="1" x14ac:dyDescent="0.3">
      <c r="A1" s="1" t="s">
        <v>292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293</v>
      </c>
    </row>
    <row r="3" spans="1:8" x14ac:dyDescent="0.3">
      <c r="A3" s="6" t="s">
        <v>294</v>
      </c>
      <c r="B3" s="44">
        <v>46262</v>
      </c>
      <c r="D3" s="3" t="s">
        <v>295</v>
      </c>
    </row>
    <row r="5" spans="1:8" x14ac:dyDescent="0.3">
      <c r="A5" s="40" t="s">
        <v>296</v>
      </c>
      <c r="B5" s="40" t="s">
        <v>297</v>
      </c>
      <c r="C5" s="40" t="s">
        <v>298</v>
      </c>
      <c r="D5" s="40" t="s">
        <v>299</v>
      </c>
      <c r="E5" s="40" t="s">
        <v>300</v>
      </c>
    </row>
    <row r="6" spans="1:8" x14ac:dyDescent="0.3">
      <c r="A6" s="41" t="s">
        <v>123</v>
      </c>
      <c r="B6" s="41" t="s">
        <v>301</v>
      </c>
      <c r="C6" s="41" t="s">
        <v>302</v>
      </c>
      <c r="D6" s="41" t="s">
        <v>303</v>
      </c>
      <c r="E6" s="42" t="s">
        <v>304</v>
      </c>
    </row>
    <row r="7" spans="1:8" x14ac:dyDescent="0.3">
      <c r="A7" s="41" t="s">
        <v>123</v>
      </c>
      <c r="B7" s="41" t="s">
        <v>305</v>
      </c>
      <c r="C7" s="41" t="s">
        <v>306</v>
      </c>
      <c r="D7" s="41" t="s">
        <v>303</v>
      </c>
      <c r="E7" s="42" t="s">
        <v>304</v>
      </c>
    </row>
    <row r="8" spans="1:8" x14ac:dyDescent="0.3">
      <c r="A8" s="41" t="s">
        <v>123</v>
      </c>
      <c r="B8" s="41" t="s">
        <v>307</v>
      </c>
      <c r="C8" s="41" t="s">
        <v>308</v>
      </c>
      <c r="D8" s="41" t="s">
        <v>303</v>
      </c>
      <c r="E8" s="42" t="s">
        <v>304</v>
      </c>
    </row>
    <row r="9" spans="1:8" x14ac:dyDescent="0.3">
      <c r="A9" s="41" t="s">
        <v>123</v>
      </c>
      <c r="B9" s="41" t="s">
        <v>309</v>
      </c>
      <c r="C9" s="41" t="s">
        <v>310</v>
      </c>
      <c r="D9" s="41" t="s">
        <v>311</v>
      </c>
      <c r="E9" s="42" t="s">
        <v>304</v>
      </c>
    </row>
    <row r="10" spans="1:8" ht="23.6" x14ac:dyDescent="0.3">
      <c r="A10" s="41" t="s">
        <v>123</v>
      </c>
      <c r="B10" s="41" t="s">
        <v>312</v>
      </c>
      <c r="C10" s="41" t="s">
        <v>313</v>
      </c>
      <c r="D10" s="41" t="s">
        <v>303</v>
      </c>
      <c r="E10" s="42" t="s">
        <v>314</v>
      </c>
    </row>
    <row r="11" spans="1:8" x14ac:dyDescent="0.3">
      <c r="A11" s="41" t="s">
        <v>123</v>
      </c>
      <c r="B11" s="41" t="s">
        <v>315</v>
      </c>
      <c r="C11" s="41" t="s">
        <v>316</v>
      </c>
      <c r="D11" s="41" t="s">
        <v>303</v>
      </c>
      <c r="E11" s="42" t="s">
        <v>317</v>
      </c>
    </row>
    <row r="12" spans="1:8" x14ac:dyDescent="0.3">
      <c r="A12" s="41" t="s">
        <v>123</v>
      </c>
      <c r="B12" s="41" t="s">
        <v>318</v>
      </c>
      <c r="C12" s="41" t="s">
        <v>319</v>
      </c>
      <c r="D12" s="41" t="s">
        <v>311</v>
      </c>
      <c r="E12" s="42" t="s">
        <v>317</v>
      </c>
    </row>
    <row r="13" spans="1:8" x14ac:dyDescent="0.3">
      <c r="A13" s="41" t="s">
        <v>123</v>
      </c>
      <c r="B13" s="41" t="s">
        <v>320</v>
      </c>
      <c r="C13" s="41" t="s">
        <v>321</v>
      </c>
      <c r="D13" s="41" t="s">
        <v>303</v>
      </c>
      <c r="E13" s="42" t="s">
        <v>322</v>
      </c>
    </row>
    <row r="14" spans="1:8" ht="23.6" x14ac:dyDescent="0.3">
      <c r="A14" s="41" t="s">
        <v>123</v>
      </c>
      <c r="B14" s="41" t="s">
        <v>323</v>
      </c>
      <c r="C14" s="41" t="s">
        <v>324</v>
      </c>
      <c r="D14" s="41" t="s">
        <v>303</v>
      </c>
      <c r="E14" s="42" t="s">
        <v>325</v>
      </c>
    </row>
    <row r="15" spans="1:8" x14ac:dyDescent="0.3">
      <c r="A15" s="41" t="s">
        <v>326</v>
      </c>
      <c r="B15" s="41" t="s">
        <v>327</v>
      </c>
      <c r="C15" s="41" t="s">
        <v>328</v>
      </c>
      <c r="D15" s="41" t="s">
        <v>329</v>
      </c>
      <c r="E15" s="42" t="s">
        <v>330</v>
      </c>
    </row>
    <row r="16" spans="1:8" x14ac:dyDescent="0.3">
      <c r="A16" s="41" t="s">
        <v>326</v>
      </c>
      <c r="B16" s="41" t="s">
        <v>331</v>
      </c>
      <c r="C16" s="41" t="s">
        <v>332</v>
      </c>
      <c r="D16" s="41" t="s">
        <v>329</v>
      </c>
      <c r="E16" s="42" t="s">
        <v>333</v>
      </c>
    </row>
    <row r="17" spans="1:5" x14ac:dyDescent="0.3">
      <c r="A17" s="41" t="s">
        <v>326</v>
      </c>
      <c r="B17" s="41" t="s">
        <v>334</v>
      </c>
      <c r="C17" s="41" t="s">
        <v>335</v>
      </c>
      <c r="D17" s="41" t="s">
        <v>329</v>
      </c>
      <c r="E17" s="42" t="s">
        <v>336</v>
      </c>
    </row>
    <row r="18" spans="1:5" x14ac:dyDescent="0.3">
      <c r="A18" s="41" t="s">
        <v>326</v>
      </c>
      <c r="B18" s="41" t="s">
        <v>337</v>
      </c>
      <c r="C18" s="41" t="s">
        <v>338</v>
      </c>
      <c r="D18" s="41" t="s">
        <v>329</v>
      </c>
      <c r="E18" s="42" t="s">
        <v>317</v>
      </c>
    </row>
    <row r="19" spans="1:5" x14ac:dyDescent="0.3">
      <c r="A19" s="41" t="s">
        <v>339</v>
      </c>
      <c r="B19" s="41" t="s">
        <v>340</v>
      </c>
      <c r="C19" s="41" t="s">
        <v>341</v>
      </c>
      <c r="D19" s="41" t="s">
        <v>342</v>
      </c>
      <c r="E19" s="42" t="s">
        <v>343</v>
      </c>
    </row>
    <row r="20" spans="1:5" x14ac:dyDescent="0.3">
      <c r="A20" s="41" t="s">
        <v>339</v>
      </c>
      <c r="B20" s="41" t="s">
        <v>344</v>
      </c>
      <c r="C20" s="41" t="s">
        <v>345</v>
      </c>
      <c r="D20" s="41" t="s">
        <v>342</v>
      </c>
      <c r="E20" s="42" t="s">
        <v>317</v>
      </c>
    </row>
    <row r="21" spans="1:5" x14ac:dyDescent="0.3">
      <c r="A21" s="41" t="s">
        <v>339</v>
      </c>
      <c r="B21" s="41" t="s">
        <v>346</v>
      </c>
      <c r="C21" s="41" t="s">
        <v>347</v>
      </c>
      <c r="D21" s="41" t="s">
        <v>342</v>
      </c>
      <c r="E21" s="42" t="s">
        <v>348</v>
      </c>
    </row>
    <row r="22" spans="1:5" x14ac:dyDescent="0.3">
      <c r="A22" s="41" t="s">
        <v>339</v>
      </c>
      <c r="B22" s="41" t="s">
        <v>349</v>
      </c>
      <c r="C22" s="41" t="s">
        <v>350</v>
      </c>
      <c r="D22" s="41" t="s">
        <v>342</v>
      </c>
      <c r="E22" s="42" t="s">
        <v>348</v>
      </c>
    </row>
    <row r="23" spans="1:5" x14ac:dyDescent="0.3">
      <c r="A23" s="41" t="s">
        <v>351</v>
      </c>
      <c r="B23" s="41" t="s">
        <v>352</v>
      </c>
      <c r="C23" s="41" t="s">
        <v>353</v>
      </c>
      <c r="D23" s="41" t="s">
        <v>354</v>
      </c>
      <c r="E23" s="42" t="s">
        <v>355</v>
      </c>
    </row>
    <row r="24" spans="1:5" x14ac:dyDescent="0.3">
      <c r="A24" s="41" t="s">
        <v>356</v>
      </c>
      <c r="B24" s="41" t="s">
        <v>357</v>
      </c>
      <c r="C24" s="41" t="s">
        <v>358</v>
      </c>
      <c r="D24" s="41" t="s">
        <v>359</v>
      </c>
      <c r="E24" s="42" t="s">
        <v>360</v>
      </c>
    </row>
    <row r="25" spans="1:5" x14ac:dyDescent="0.3">
      <c r="A25" s="41" t="s">
        <v>356</v>
      </c>
      <c r="B25" s="41" t="s">
        <v>361</v>
      </c>
      <c r="C25" s="41" t="s">
        <v>362</v>
      </c>
      <c r="D25" s="41" t="s">
        <v>359</v>
      </c>
      <c r="E25" s="42" t="s">
        <v>363</v>
      </c>
    </row>
    <row r="26" spans="1:5" ht="23.6" x14ac:dyDescent="0.3">
      <c r="A26" s="41" t="s">
        <v>356</v>
      </c>
      <c r="B26" s="41" t="s">
        <v>364</v>
      </c>
      <c r="C26" s="41" t="s">
        <v>365</v>
      </c>
      <c r="D26" s="41" t="s">
        <v>311</v>
      </c>
      <c r="E26" s="42" t="s">
        <v>366</v>
      </c>
    </row>
    <row r="27" spans="1:5" x14ac:dyDescent="0.3">
      <c r="A27" s="41" t="s">
        <v>367</v>
      </c>
      <c r="B27" s="41" t="s">
        <v>368</v>
      </c>
      <c r="C27" s="41" t="s">
        <v>369</v>
      </c>
      <c r="D27" s="41" t="s">
        <v>370</v>
      </c>
      <c r="E27" s="42" t="s">
        <v>371</v>
      </c>
    </row>
    <row r="28" spans="1:5" x14ac:dyDescent="0.3">
      <c r="A28" s="41" t="s">
        <v>367</v>
      </c>
      <c r="B28" s="41" t="s">
        <v>372</v>
      </c>
      <c r="C28" s="41" t="s">
        <v>373</v>
      </c>
      <c r="D28" s="41" t="s">
        <v>370</v>
      </c>
      <c r="E28" s="42" t="s">
        <v>371</v>
      </c>
    </row>
    <row r="29" spans="1:5" ht="23.6" x14ac:dyDescent="0.3">
      <c r="A29" s="41" t="s">
        <v>367</v>
      </c>
      <c r="B29" s="41" t="s">
        <v>374</v>
      </c>
      <c r="C29" s="41" t="s">
        <v>375</v>
      </c>
      <c r="D29" s="41" t="s">
        <v>376</v>
      </c>
      <c r="E29" s="42" t="s">
        <v>377</v>
      </c>
    </row>
    <row r="30" spans="1:5" x14ac:dyDescent="0.3">
      <c r="A30" s="41" t="s">
        <v>367</v>
      </c>
      <c r="B30" s="41" t="s">
        <v>378</v>
      </c>
      <c r="C30" s="41" t="s">
        <v>379</v>
      </c>
      <c r="D30" s="41" t="s">
        <v>380</v>
      </c>
      <c r="E30" s="42" t="s">
        <v>381</v>
      </c>
    </row>
    <row r="31" spans="1:5" x14ac:dyDescent="0.3">
      <c r="A31" s="41" t="s">
        <v>367</v>
      </c>
      <c r="B31" s="41" t="s">
        <v>382</v>
      </c>
      <c r="C31" s="41" t="s">
        <v>383</v>
      </c>
      <c r="D31" s="41" t="s">
        <v>384</v>
      </c>
      <c r="E31" s="42" t="s">
        <v>381</v>
      </c>
    </row>
    <row r="32" spans="1:5" x14ac:dyDescent="0.3">
      <c r="A32" s="41" t="s">
        <v>367</v>
      </c>
      <c r="B32" s="41" t="s">
        <v>385</v>
      </c>
      <c r="C32" s="41" t="s">
        <v>386</v>
      </c>
      <c r="D32" s="41" t="s">
        <v>380</v>
      </c>
      <c r="E32" s="42" t="s">
        <v>387</v>
      </c>
    </row>
    <row r="33" spans="1:5" x14ac:dyDescent="0.3">
      <c r="A33" s="41" t="s">
        <v>367</v>
      </c>
      <c r="B33" s="41" t="s">
        <v>388</v>
      </c>
      <c r="C33" s="41" t="s">
        <v>389</v>
      </c>
      <c r="D33" s="41" t="s">
        <v>390</v>
      </c>
      <c r="E33" s="42" t="s">
        <v>387</v>
      </c>
    </row>
    <row r="34" spans="1:5" x14ac:dyDescent="0.3">
      <c r="A34" s="41" t="s">
        <v>367</v>
      </c>
      <c r="B34" s="41" t="s">
        <v>391</v>
      </c>
      <c r="C34" s="41" t="s">
        <v>392</v>
      </c>
      <c r="D34" s="41" t="s">
        <v>393</v>
      </c>
      <c r="E34" s="42" t="s">
        <v>394</v>
      </c>
    </row>
    <row r="35" spans="1:5" x14ac:dyDescent="0.3">
      <c r="A35" s="41" t="s">
        <v>395</v>
      </c>
      <c r="B35" s="41" t="s">
        <v>396</v>
      </c>
      <c r="C35" s="41" t="s">
        <v>397</v>
      </c>
      <c r="D35" s="41" t="s">
        <v>398</v>
      </c>
      <c r="E35" s="42" t="s">
        <v>399</v>
      </c>
    </row>
    <row r="36" spans="1:5" x14ac:dyDescent="0.3">
      <c r="A36" s="41" t="s">
        <v>395</v>
      </c>
      <c r="B36" s="41" t="s">
        <v>400</v>
      </c>
      <c r="C36" s="41" t="s">
        <v>401</v>
      </c>
      <c r="D36" s="41" t="s">
        <v>398</v>
      </c>
      <c r="E36" s="42" t="s">
        <v>402</v>
      </c>
    </row>
    <row r="37" spans="1:5" x14ac:dyDescent="0.3">
      <c r="A37" s="41" t="s">
        <v>395</v>
      </c>
      <c r="B37" s="41" t="s">
        <v>403</v>
      </c>
      <c r="C37" s="41" t="s">
        <v>404</v>
      </c>
      <c r="D37" s="41" t="s">
        <v>398</v>
      </c>
      <c r="E37" s="42" t="s">
        <v>405</v>
      </c>
    </row>
    <row r="38" spans="1:5" x14ac:dyDescent="0.3">
      <c r="A38" s="41" t="s">
        <v>395</v>
      </c>
      <c r="B38" s="41" t="s">
        <v>406</v>
      </c>
      <c r="C38" s="41" t="s">
        <v>407</v>
      </c>
      <c r="D38" s="41" t="s">
        <v>214</v>
      </c>
      <c r="E38" s="42" t="s">
        <v>402</v>
      </c>
    </row>
    <row r="39" spans="1:5" x14ac:dyDescent="0.3">
      <c r="A39" s="41" t="s">
        <v>395</v>
      </c>
      <c r="B39" s="41" t="s">
        <v>408</v>
      </c>
      <c r="C39" s="41" t="s">
        <v>409</v>
      </c>
      <c r="D39" s="41" t="s">
        <v>410</v>
      </c>
      <c r="E39" s="42" t="s">
        <v>411</v>
      </c>
    </row>
    <row r="40" spans="1:5" x14ac:dyDescent="0.3">
      <c r="A40" s="41" t="s">
        <v>395</v>
      </c>
      <c r="B40" s="41" t="s">
        <v>412</v>
      </c>
      <c r="C40" s="41" t="s">
        <v>413</v>
      </c>
      <c r="D40" s="41" t="s">
        <v>414</v>
      </c>
      <c r="E40" s="42" t="s">
        <v>415</v>
      </c>
    </row>
    <row r="41" spans="1:5" x14ac:dyDescent="0.3">
      <c r="A41" s="41" t="s">
        <v>395</v>
      </c>
      <c r="B41" s="41" t="s">
        <v>416</v>
      </c>
      <c r="C41" s="41" t="s">
        <v>417</v>
      </c>
      <c r="D41" s="41" t="s">
        <v>418</v>
      </c>
      <c r="E41" s="42" t="s">
        <v>419</v>
      </c>
    </row>
    <row r="43" spans="1:5" x14ac:dyDescent="0.3">
      <c r="A43" s="3" t="s">
        <v>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Tran Duc Bao 20235271</cp:lastModifiedBy>
  <cp:revision>0</cp:revision>
  <dcterms:created xsi:type="dcterms:W3CDTF">2026-08-26T15:07:08Z</dcterms:created>
  <dcterms:modified xsi:type="dcterms:W3CDTF">2026-08-27T17:53:05Z</dcterms:modified>
  <dc:language>en-US</dc:language>
</cp:coreProperties>
</file>